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ales_by_Category" sheetId="2" state="visible" r:id="rId4"/>
    <sheet name="Product_Ranking" sheetId="3" state="visible" r:id="rId5"/>
    <sheet name="Expense_Breakdown" sheetId="4" state="visible" r:id="rId6"/>
    <sheet name="Inventory" sheetId="5" state="visible" r:id="rId7"/>
    <sheet name="Data_Sales" sheetId="6" state="visible" r:id="rId8"/>
    <sheet name="Data_Expenses" sheetId="7" state="visible" r:id="rId9"/>
  </sheets>
  <definedNames>
    <definedName function="false" hidden="true" localSheetId="6" name="_xlnm._FilterDatabase" vbProcedure="false">Data_Expenses!$A$1:$E$40</definedName>
    <definedName function="false" hidden="true" localSheetId="5" name="_xlnm._FilterDatabase" vbProcedure="false">Data_Sales!$A$1:$K$1473</definedName>
    <definedName function="false" hidden="true" localSheetId="4" name="_xlnm._FilterDatabase" vbProcedure="false">Inventory!$A$1:$M$17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<sst xmlns="http://schemas.openxmlformats.org/spreadsheetml/2006/main" count="4689" uniqueCount="105">
  <si>
    <t xml:space="preserve">Sales &amp; Operations Report - Sample Grocery Store</t>
  </si>
  <si>
    <t xml:space="preserve">All figures are formulas linked to the Data_* and Inventory sheets.</t>
  </si>
  <si>
    <t xml:space="preserve">Period start</t>
  </si>
  <si>
    <t xml:space="preserve">Period end</t>
  </si>
  <si>
    <t xml:space="preserve">Days in period</t>
  </si>
  <si>
    <t xml:space="preserve">Total Revenue</t>
  </si>
  <si>
    <t xml:space="preserve">Cost of Goods Sold</t>
  </si>
  <si>
    <t xml:space="preserve">Gross Profit</t>
  </si>
  <si>
    <t xml:space="preserve">Gross Margin %</t>
  </si>
  <si>
    <t xml:space="preserve">Operating Expenses</t>
  </si>
  <si>
    <t xml:space="preserve">Net Profit</t>
  </si>
  <si>
    <t xml:space="preserve">Net Margin %</t>
  </si>
  <si>
    <t xml:space="preserve">Products to Reorder</t>
  </si>
  <si>
    <t xml:space="preserve">Monthly performance</t>
  </si>
  <si>
    <t xml:space="preserve">Month</t>
  </si>
  <si>
    <t xml:space="preserve">Revenue</t>
  </si>
  <si>
    <t xml:space="preserve">COGS</t>
  </si>
  <si>
    <t xml:space="preserve">Total</t>
  </si>
  <si>
    <t xml:space="preserve">Notes</t>
  </si>
  <si>
    <t xml:space="preserve">- Gross Profit = Revenue - COGS. COGS uses the unit cost from the Inventory sheet.</t>
  </si>
  <si>
    <t xml:space="preserve">- Net Profit = Gross Profit - Operating Expenses (rent, payroll, utilities, etc.).</t>
  </si>
  <si>
    <t xml:space="preserve">- The sample data included in this repository is synthetic.</t>
  </si>
  <si>
    <t xml:space="preserve">Sales by Category</t>
  </si>
  <si>
    <t xml:space="preserve">Revenue by category and month</t>
  </si>
  <si>
    <t xml:space="preserve">Category</t>
  </si>
  <si>
    <t xml:space="preserve">% of Revenue</t>
  </si>
  <si>
    <t xml:space="preserve">Dairy</t>
  </si>
  <si>
    <t xml:space="preserve">Beverages</t>
  </si>
  <si>
    <t xml:space="preserve">Snacks</t>
  </si>
  <si>
    <t xml:space="preserve">Cleaning</t>
  </si>
  <si>
    <t xml:space="preserve">Profitability by category</t>
  </si>
  <si>
    <t xml:space="preserve">Product Ranking</t>
  </si>
  <si>
    <t xml:space="preserve">Products are listed by revenue at the time the report was generated.</t>
  </si>
  <si>
    <t xml:space="preserve">Rank</t>
  </si>
  <si>
    <t xml:space="preserve">Product ID</t>
  </si>
  <si>
    <t xml:space="preserve">Product</t>
  </si>
  <si>
    <t xml:space="preserve">Units Sold</t>
  </si>
  <si>
    <t xml:space="preserve">P09</t>
  </si>
  <si>
    <t xml:space="preserve">Whole Milk 1L</t>
  </si>
  <si>
    <t xml:space="preserve">P01</t>
  </si>
  <si>
    <t xml:space="preserve">Cola 600ml</t>
  </si>
  <si>
    <t xml:space="preserve">P05</t>
  </si>
  <si>
    <t xml:space="preserve">Potato Chips</t>
  </si>
  <si>
    <t xml:space="preserve">P11</t>
  </si>
  <si>
    <t xml:space="preserve">Cheese 400g</t>
  </si>
  <si>
    <t xml:space="preserve">P14</t>
  </si>
  <si>
    <t xml:space="preserve">Laundry Detergent</t>
  </si>
  <si>
    <t xml:space="preserve">P10</t>
  </si>
  <si>
    <t xml:space="preserve">Yogurt 1kg</t>
  </si>
  <si>
    <t xml:space="preserve">P07</t>
  </si>
  <si>
    <t xml:space="preserve">Cookies</t>
  </si>
  <si>
    <t xml:space="preserve">P08</t>
  </si>
  <si>
    <t xml:space="preserve">Chocolate Bar</t>
  </si>
  <si>
    <t xml:space="preserve">P02</t>
  </si>
  <si>
    <t xml:space="preserve">Orange Soda 600ml</t>
  </si>
  <si>
    <t xml:space="preserve">P16</t>
  </si>
  <si>
    <t xml:space="preserve">Paper Towels</t>
  </si>
  <si>
    <t xml:space="preserve">P04</t>
  </si>
  <si>
    <t xml:space="preserve">Fruit Juice 1L</t>
  </si>
  <si>
    <t xml:space="preserve">P03</t>
  </si>
  <si>
    <t xml:space="preserve">Bottled Water 1L</t>
  </si>
  <si>
    <t xml:space="preserve">P13</t>
  </si>
  <si>
    <t xml:space="preserve">Dish Soap</t>
  </si>
  <si>
    <t xml:space="preserve">P06</t>
  </si>
  <si>
    <t xml:space="preserve">Salted Peanuts</t>
  </si>
  <si>
    <t xml:space="preserve">P15</t>
  </si>
  <si>
    <t xml:space="preserve">Bleach 1L</t>
  </si>
  <si>
    <t xml:space="preserve">P12</t>
  </si>
  <si>
    <t xml:space="preserve">Butter 200g</t>
  </si>
  <si>
    <t xml:space="preserve">Expense Breakdown</t>
  </si>
  <si>
    <t xml:space="preserve">Categories are listed by total spend at the time the report was generated.</t>
  </si>
  <si>
    <t xml:space="preserve">% of Expenses</t>
  </si>
  <si>
    <t xml:space="preserve">Payroll</t>
  </si>
  <si>
    <t xml:space="preserve">Rent</t>
  </si>
  <si>
    <t xml:space="preserve">Utilities</t>
  </si>
  <si>
    <t xml:space="preserve">Supplies</t>
  </si>
  <si>
    <t xml:space="preserve">Marketing</t>
  </si>
  <si>
    <t xml:space="preserve">Maintenance</t>
  </si>
  <si>
    <t xml:space="preserve">Unit Cost</t>
  </si>
  <si>
    <t xml:space="preserve">Unit Price</t>
  </si>
  <si>
    <t xml:space="preserve">Stock On Hand</t>
  </si>
  <si>
    <t xml:space="preserve">Reorder Level</t>
  </si>
  <si>
    <t xml:space="preserve">Status</t>
  </si>
  <si>
    <t xml:space="preserve">Stock Value</t>
  </si>
  <si>
    <t xml:space="preserve">Margin %</t>
  </si>
  <si>
    <t xml:space="preserve">Units Sold (period)</t>
  </si>
  <si>
    <t xml:space="preserve">Avg Daily Sales</t>
  </si>
  <si>
    <t xml:space="preserve">Days of Stock Left</t>
  </si>
  <si>
    <t xml:space="preserve">Date</t>
  </si>
  <si>
    <t xml:space="preserve">Units</t>
  </si>
  <si>
    <t xml:space="preserve">Description</t>
  </si>
  <si>
    <t xml:space="preserve">Amount</t>
  </si>
  <si>
    <t xml:space="preserve">Store rent</t>
  </si>
  <si>
    <t xml:space="preserve">Electricity</t>
  </si>
  <si>
    <t xml:space="preserve">Water</t>
  </si>
  <si>
    <t xml:space="preserve">Internet</t>
  </si>
  <si>
    <t xml:space="preserve">Shopping bags</t>
  </si>
  <si>
    <t xml:space="preserve">Flyers and social media ads</t>
  </si>
  <si>
    <t xml:space="preserve">Payroll (first half)</t>
  </si>
  <si>
    <t xml:space="preserve">Receipt paper</t>
  </si>
  <si>
    <t xml:space="preserve">Minor repairs</t>
  </si>
  <si>
    <t xml:space="preserve">Cleaning supplies</t>
  </si>
  <si>
    <t xml:space="preserve">Price labels</t>
  </si>
  <si>
    <t xml:space="preserve">Payroll (second half)</t>
  </si>
  <si>
    <t xml:space="preserve">Refrigerator repair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</si>
</sst>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0"/>
    <numFmt numFmtId="167" formatCode="\$#,##0"/>
    <numFmt numFmtId="168" formatCode="0.0%"/>
    <numFmt numFmtId="169" formatCode="mmm\ yyyy"/>
    <numFmt numFmtId="170" formatCode="General"/>
    <numFmt numFmtId="171" formatCode="#,##0"/>
    <numFmt numFmtId="172" formatCode="\$#,##0.00"/>
    <numFmt numFmtId="173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555555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0F7"/>
        <bgColor rgb="FFF5F5F5"/>
      </patternFill>
    </fill>
    <fill>
      <patternFill patternType="solid">
        <fgColor rgb="FF1F3A5F"/>
        <bgColor rgb="FF333399"/>
      </patternFill>
    </fill>
    <fill>
      <patternFill patternType="solid">
        <fgColor rgb="FFF5F5F5"/>
        <bgColor rgb="FFEAF0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 style="medium">
        <color rgb="FF1F3A5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5F5F5"/>
      <rgbColor rgb="FFEAF0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Revenue, expenses and net 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Summary!$A$19:$A$21</c:f>
              <c:strCache>
                <c:ptCount val="3"/>
                <c:pt idx="0">
                  <c:v>Jul 2026</c:v>
                </c:pt>
                <c:pt idx="1">
                  <c:v>Aug 2026</c:v>
                </c:pt>
                <c:pt idx="2">
                  <c:v>Sep 2026</c:v>
                </c:pt>
              </c:strCache>
            </c:strRef>
          </c:cat>
          <c:val>
            <c:numRef>
              <c:f>Summary!$B$19:$B$21</c:f>
              <c:numCache>
                <c:formatCode>\$#,##0</c:formatCode>
                <c:ptCount val="3"/>
                <c:pt idx="0">
                  <c:v>11001.55</c:v>
                </c:pt>
                <c:pt idx="1">
                  <c:v>11340</c:v>
                </c:pt>
                <c:pt idx="2">
                  <c:v>11369.45</c:v>
                </c:pt>
              </c:numCache>
            </c:numRef>
          </c:val>
        </c:ser>
        <c:ser>
          <c:idx val="1"/>
          <c:order val="1"/>
          <c:tx>
            <c:strRef>
              <c:f>Summary!E18</c:f>
              <c:strCache>
                <c:ptCount val="1"/>
                <c:pt idx="0">
                  <c:v>Operating Expenses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Summary!$A$19:$A$21</c:f>
              <c:strCache>
                <c:ptCount val="3"/>
                <c:pt idx="0">
                  <c:v>Jul 2026</c:v>
                </c:pt>
                <c:pt idx="1">
                  <c:v>Aug 2026</c:v>
                </c:pt>
                <c:pt idx="2">
                  <c:v>Sep 2026</c:v>
                </c:pt>
              </c:strCache>
            </c:strRef>
          </c:cat>
          <c:val>
            <c:numRef>
              <c:f>Summary!$E$19:$E$21</c:f>
              <c:numCache>
                <c:formatCode>\$#,##0</c:formatCode>
                <c:ptCount val="3"/>
                <c:pt idx="0">
                  <c:v>2856.94</c:v>
                </c:pt>
                <c:pt idx="1">
                  <c:v>3100.85</c:v>
                </c:pt>
                <c:pt idx="2">
                  <c:v>2949.72</c:v>
                </c:pt>
              </c:numCache>
            </c:numRef>
          </c:val>
        </c:ser>
        <c:ser>
          <c:idx val="2"/>
          <c:order val="2"/>
          <c:tx>
            <c:strRef>
              <c:f>Summary!F18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Summary!$A$19:$A$21</c:f>
              <c:strCache>
                <c:ptCount val="3"/>
                <c:pt idx="0">
                  <c:v>Jul 2026</c:v>
                </c:pt>
                <c:pt idx="1">
                  <c:v>Aug 2026</c:v>
                </c:pt>
                <c:pt idx="2">
                  <c:v>Sep 2026</c:v>
                </c:pt>
              </c:strCache>
            </c:strRef>
          </c:cat>
          <c:val>
            <c:numRef>
              <c:f>Summary!$F$19:$F$21</c:f>
              <c:numCache>
                <c:formatCode>\$#,##0</c:formatCode>
                <c:ptCount val="3"/>
                <c:pt idx="0">
                  <c:v>1361.96</c:v>
                </c:pt>
                <c:pt idx="1">
                  <c:v>1242.5</c:v>
                </c:pt>
                <c:pt idx="2">
                  <c:v>1396.28</c:v>
                </c:pt>
              </c:numCache>
            </c:numRef>
          </c:val>
        </c:ser>
        <c:gapWidth val="150"/>
        <c:overlap val="0"/>
        <c:axId val="402104"/>
        <c:axId val="44256762"/>
      </c:barChart>
      <c:catAx>
        <c:axId val="402104"/>
        <c:scaling>
          <c:orientation val="minMax"/>
        </c:scaling>
        <c:delete val="0"/>
        <c:axPos val="b"/>
        <c:numFmt formatCode="mmm\ 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256762"/>
        <c:crosses val="autoZero"/>
        <c:auto val="1"/>
        <c:lblAlgn val="ctr"/>
        <c:lblOffset val="100"/>
        <c:noMultiLvlLbl val="0"/>
      </c:catAx>
      <c:valAx>
        <c:axId val="442567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1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Sales_by_Category!B4</c:f>
              <c:strCache>
                <c:ptCount val="1"/>
                <c:pt idx="0">
                  <c:v>Jul 2026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Sales_by_Category!$A$5:$A$8</c:f>
              <c:strCache>
                <c:ptCount val="4"/>
                <c:pt idx="0">
                  <c:v>Dairy</c:v>
                </c:pt>
                <c:pt idx="1">
                  <c:v>Beverages</c:v>
                </c:pt>
                <c:pt idx="2">
                  <c:v>Snacks</c:v>
                </c:pt>
                <c:pt idx="3">
                  <c:v>Cleaning</c:v>
                </c:pt>
              </c:strCache>
            </c:strRef>
          </c:cat>
          <c:val>
            <c:numRef>
              <c:f>Sales_by_Category!$B$5:$B$8</c:f>
              <c:numCache>
                <c:formatCode>\$#,##0</c:formatCode>
                <c:ptCount val="4"/>
                <c:pt idx="0">
                  <c:v>2988.8</c:v>
                </c:pt>
                <c:pt idx="1">
                  <c:v>2758.85</c:v>
                </c:pt>
                <c:pt idx="2">
                  <c:v>2762.7</c:v>
                </c:pt>
                <c:pt idx="3">
                  <c:v>2491.2</c:v>
                </c:pt>
              </c:numCache>
            </c:numRef>
          </c:val>
        </c:ser>
        <c:ser>
          <c:idx val="1"/>
          <c:order val="1"/>
          <c:tx>
            <c:strRef>
              <c:f>Sales_by_Category!C4</c:f>
              <c:strCache>
                <c:ptCount val="1"/>
                <c:pt idx="0">
                  <c:v>Aug 2026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Sales_by_Category!$A$5:$A$8</c:f>
              <c:strCache>
                <c:ptCount val="4"/>
                <c:pt idx="0">
                  <c:v>Dairy</c:v>
                </c:pt>
                <c:pt idx="1">
                  <c:v>Beverages</c:v>
                </c:pt>
                <c:pt idx="2">
                  <c:v>Snacks</c:v>
                </c:pt>
                <c:pt idx="3">
                  <c:v>Cleaning</c:v>
                </c:pt>
              </c:strCache>
            </c:strRef>
          </c:cat>
          <c:val>
            <c:numRef>
              <c:f>Sales_by_Category!$C$5:$C$8</c:f>
              <c:numCache>
                <c:formatCode>\$#,##0</c:formatCode>
                <c:ptCount val="4"/>
                <c:pt idx="0">
                  <c:v>3144.3</c:v>
                </c:pt>
                <c:pt idx="1">
                  <c:v>2888</c:v>
                </c:pt>
                <c:pt idx="2">
                  <c:v>2744.6</c:v>
                </c:pt>
                <c:pt idx="3">
                  <c:v>2563.1</c:v>
                </c:pt>
              </c:numCache>
            </c:numRef>
          </c:val>
        </c:ser>
        <c:ser>
          <c:idx val="2"/>
          <c:order val="2"/>
          <c:tx>
            <c:strRef>
              <c:f>Sales_by_Category!D4</c:f>
              <c:strCache>
                <c:ptCount val="1"/>
                <c:pt idx="0">
                  <c:v>Sep 2026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Sales_by_Category!$A$5:$A$8</c:f>
              <c:strCache>
                <c:ptCount val="4"/>
                <c:pt idx="0">
                  <c:v>Dairy</c:v>
                </c:pt>
                <c:pt idx="1">
                  <c:v>Beverages</c:v>
                </c:pt>
                <c:pt idx="2">
                  <c:v>Snacks</c:v>
                </c:pt>
                <c:pt idx="3">
                  <c:v>Cleaning</c:v>
                </c:pt>
              </c:strCache>
            </c:strRef>
          </c:cat>
          <c:val>
            <c:numRef>
              <c:f>Sales_by_Category!$D$5:$D$8</c:f>
              <c:numCache>
                <c:formatCode>\$#,##0</c:formatCode>
                <c:ptCount val="4"/>
                <c:pt idx="0">
                  <c:v>3203.6</c:v>
                </c:pt>
                <c:pt idx="1">
                  <c:v>2786.65</c:v>
                </c:pt>
                <c:pt idx="2">
                  <c:v>2716.4</c:v>
                </c:pt>
                <c:pt idx="3">
                  <c:v>2662.8</c:v>
                </c:pt>
              </c:numCache>
            </c:numRef>
          </c:val>
        </c:ser>
        <c:gapWidth val="150"/>
        <c:overlap val="0"/>
        <c:axId val="39483078"/>
        <c:axId val="52109148"/>
      </c:barChart>
      <c:catAx>
        <c:axId val="394830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09148"/>
        <c:crosses val="autoZero"/>
        <c:auto val="1"/>
        <c:lblAlgn val="ctr"/>
        <c:lblOffset val="100"/>
        <c:noMultiLvlLbl val="0"/>
      </c:catAx>
      <c:valAx>
        <c:axId val="521091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4830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Product_Ranking!F4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Product_Ranking!$C$5:$C$14</c:f>
              <c:strCache>
                <c:ptCount val="10"/>
                <c:pt idx="0">
                  <c:v>Whole Milk 1L</c:v>
                </c:pt>
                <c:pt idx="1">
                  <c:v>Cola 600ml</c:v>
                </c:pt>
                <c:pt idx="2">
                  <c:v>Potato Chips</c:v>
                </c:pt>
                <c:pt idx="3">
                  <c:v>Cheese 400g</c:v>
                </c:pt>
                <c:pt idx="4">
                  <c:v>Laundry Detergent</c:v>
                </c:pt>
                <c:pt idx="5">
                  <c:v>Yogurt 1kg</c:v>
                </c:pt>
                <c:pt idx="6">
                  <c:v>Cookies</c:v>
                </c:pt>
                <c:pt idx="7">
                  <c:v>Chocolate Bar</c:v>
                </c:pt>
                <c:pt idx="8">
                  <c:v>Orange Soda 600ml</c:v>
                </c:pt>
                <c:pt idx="9">
                  <c:v>Paper Towels</c:v>
                </c:pt>
              </c:strCache>
            </c:strRef>
          </c:cat>
          <c:val>
            <c:numRef>
              <c:f>Product_Ranking!$F$5:$F$14</c:f>
              <c:numCache>
                <c:formatCode>\$#,##0</c:formatCode>
                <c:ptCount val="10"/>
                <c:pt idx="0">
                  <c:v>3073.2</c:v>
                </c:pt>
                <c:pt idx="1">
                  <c:v>2839</c:v>
                </c:pt>
                <c:pt idx="2">
                  <c:v>2809.3</c:v>
                </c:pt>
                <c:pt idx="3">
                  <c:v>2804.4</c:v>
                </c:pt>
                <c:pt idx="4">
                  <c:v>2761.2</c:v>
                </c:pt>
                <c:pt idx="5">
                  <c:v>2279.2</c:v>
                </c:pt>
                <c:pt idx="6">
                  <c:v>2154</c:v>
                </c:pt>
                <c:pt idx="7">
                  <c:v>1978.8</c:v>
                </c:pt>
                <c:pt idx="8">
                  <c:v>1888.6</c:v>
                </c:pt>
                <c:pt idx="9">
                  <c:v>1880</c:v>
                </c:pt>
              </c:numCache>
            </c:numRef>
          </c:val>
        </c:ser>
        <c:gapWidth val="150"/>
        <c:overlap val="0"/>
        <c:axId val="89854521"/>
        <c:axId val="4575801"/>
      </c:barChart>
      <c:catAx>
        <c:axId val="8985452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75801"/>
        <c:crosses val="autoZero"/>
        <c:auto val="1"/>
        <c:lblAlgn val="ctr"/>
        <c:lblOffset val="100"/>
        <c:noMultiLvlLbl val="0"/>
      </c:catAx>
      <c:valAx>
        <c:axId val="45758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545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expenses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Expense_Breakdown!E4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Expense_Breakdown!$A$5:$A$10</c:f>
              <c:strCache>
                <c:ptCount val="6"/>
                <c:pt idx="0">
                  <c:v>Payroll</c:v>
                </c:pt>
                <c:pt idx="1">
                  <c:v>Rent</c:v>
                </c:pt>
                <c:pt idx="2">
                  <c:v>Utilities</c:v>
                </c:pt>
                <c:pt idx="3">
                  <c:v>Supplies</c:v>
                </c:pt>
                <c:pt idx="4">
                  <c:v>Marketing</c:v>
                </c:pt>
                <c:pt idx="5">
                  <c:v>Maintenance</c:v>
                </c:pt>
              </c:strCache>
            </c:strRef>
          </c:cat>
          <c:val>
            <c:numRef>
              <c:f>Expense_Breakdown!$E$5:$E$10</c:f>
              <c:numCache>
                <c:formatCode>\$#,##0</c:formatCode>
                <c:ptCount val="6"/>
                <c:pt idx="0">
                  <c:v>4200</c:v>
                </c:pt>
                <c:pt idx="1">
                  <c:v>2700</c:v>
                </c:pt>
                <c:pt idx="2">
                  <c:v>892.96</c:v>
                </c:pt>
                <c:pt idx="3">
                  <c:v>539.63</c:v>
                </c:pt>
                <c:pt idx="4">
                  <c:v>316.64</c:v>
                </c:pt>
                <c:pt idx="5">
                  <c:v>258.28</c:v>
                </c:pt>
              </c:numCache>
            </c:numRef>
          </c:val>
        </c:ser>
        <c:gapWidth val="150"/>
        <c:overlap val="0"/>
        <c:axId val="21632858"/>
        <c:axId val="410870"/>
      </c:barChart>
      <c:catAx>
        <c:axId val="2163285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870"/>
        <c:crosses val="autoZero"/>
        <c:auto val="1"/>
        <c:lblAlgn val="ctr"/>
        <c:lblOffset val="100"/>
        <c:noMultiLvlLbl val="0"/>
      </c:catAx>
      <c:valAx>
        <c:axId val="410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328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130680</xdr:rowOff>
    </xdr:from>
    <xdr:to>
      <xdr:col>9</xdr:col>
      <xdr:colOff>526680</xdr:colOff>
      <xdr:row>15</xdr:row>
      <xdr:rowOff>127440</xdr:rowOff>
    </xdr:to>
    <xdr:graphicFrame>
      <xdr:nvGraphicFramePr>
        <xdr:cNvPr id="0" name="Chart 1"/>
        <xdr:cNvGraphicFramePr/>
      </xdr:nvGraphicFramePr>
      <xdr:xfrm>
        <a:off x="3735720" y="380880"/>
        <a:ext cx="6119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17</xdr:col>
      <xdr:colOff>4320</xdr:colOff>
      <xdr:row>16</xdr:row>
      <xdr:rowOff>153000</xdr:rowOff>
    </xdr:to>
    <xdr:graphicFrame>
      <xdr:nvGraphicFramePr>
        <xdr:cNvPr id="1" name="Chart 1"/>
        <xdr:cNvGraphicFramePr/>
      </xdr:nvGraphicFramePr>
      <xdr:xfrm>
        <a:off x="6814080" y="380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</xdr:row>
      <xdr:rowOff>130680</xdr:rowOff>
    </xdr:from>
    <xdr:to>
      <xdr:col>20</xdr:col>
      <xdr:colOff>4680</xdr:colOff>
      <xdr:row>18</xdr:row>
      <xdr:rowOff>19440</xdr:rowOff>
    </xdr:to>
    <xdr:graphicFrame>
      <xdr:nvGraphicFramePr>
        <xdr:cNvPr id="2" name="Chart 1"/>
        <xdr:cNvGraphicFramePr/>
      </xdr:nvGraphicFramePr>
      <xdr:xfrm>
        <a:off x="8717400" y="380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17</xdr:col>
      <xdr:colOff>4680</xdr:colOff>
      <xdr:row>16</xdr:row>
      <xdr:rowOff>153000</xdr:rowOff>
    </xdr:to>
    <xdr:graphicFrame>
      <xdr:nvGraphicFramePr>
        <xdr:cNvPr id="3" name="Chart 1"/>
        <xdr:cNvGraphicFramePr/>
      </xdr:nvGraphicFramePr>
      <xdr:xfrm>
        <a:off x="6391440" y="38088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7" min="6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f aca="false">MIN(Data_Sales!$A$2:$A$1473)</f>
        <v>46204</v>
      </c>
    </row>
    <row r="4" customFormat="false" ht="15" hidden="false" customHeight="false" outlineLevel="0" collapsed="false">
      <c r="A4" s="3" t="s">
        <v>3</v>
      </c>
      <c r="B4" s="4" t="n">
        <f aca="false">MAX(Data_Sales!$A$2:$A$1473)</f>
        <v>46295</v>
      </c>
    </row>
    <row r="5" customFormat="false" ht="15" hidden="false" customHeight="false" outlineLevel="0" collapsed="false">
      <c r="A5" s="3" t="s">
        <v>4</v>
      </c>
      <c r="B5" s="5" t="n">
        <f aca="false">B4-B3+1</f>
        <v>92</v>
      </c>
    </row>
    <row r="7" customFormat="false" ht="15" hidden="false" customHeight="false" outlineLevel="0" collapsed="false">
      <c r="A7" s="6" t="s">
        <v>5</v>
      </c>
      <c r="B7" s="7" t="n">
        <f aca="false">SUM(Data_Sales!$H$2:$H$1473)</f>
        <v>33711</v>
      </c>
    </row>
    <row r="8" customFormat="false" ht="15" hidden="false" customHeight="false" outlineLevel="0" collapsed="false">
      <c r="A8" s="8" t="s">
        <v>6</v>
      </c>
      <c r="B8" s="9" t="n">
        <f aca="false">SUM(Data_Sales!$J$2:$J$1473)</f>
        <v>20802.75</v>
      </c>
    </row>
    <row r="9" customFormat="false" ht="15" hidden="false" customHeight="false" outlineLevel="0" collapsed="false">
      <c r="A9" s="6" t="s">
        <v>7</v>
      </c>
      <c r="B9" s="7" t="n">
        <f aca="false">B7-B8</f>
        <v>12908.25</v>
      </c>
    </row>
    <row r="10" customFormat="false" ht="15" hidden="false" customHeight="false" outlineLevel="0" collapsed="false">
      <c r="A10" s="8" t="s">
        <v>8</v>
      </c>
      <c r="B10" s="10" t="n">
        <f aca="false">IF(B7=0,0,B9/B7)</f>
        <v>0.382909139450031</v>
      </c>
    </row>
    <row r="11" customFormat="false" ht="15" hidden="false" customHeight="false" outlineLevel="0" collapsed="false">
      <c r="A11" s="8" t="s">
        <v>9</v>
      </c>
      <c r="B11" s="9" t="n">
        <f aca="false">SUM(Data_Expenses!$E$2:$E$40)</f>
        <v>8907.51</v>
      </c>
    </row>
    <row r="12" customFormat="false" ht="15" hidden="false" customHeight="false" outlineLevel="0" collapsed="false">
      <c r="A12" s="6" t="s">
        <v>10</v>
      </c>
      <c r="B12" s="7" t="n">
        <f aca="false">B9-B11</f>
        <v>4000.74</v>
      </c>
    </row>
    <row r="13" customFormat="false" ht="15" hidden="false" customHeight="false" outlineLevel="0" collapsed="false">
      <c r="A13" s="8" t="s">
        <v>11</v>
      </c>
      <c r="B13" s="10" t="n">
        <f aca="false">IF(B7=0,0,B12/B7)</f>
        <v>0.118677582984782</v>
      </c>
    </row>
    <row r="14" customFormat="false" ht="15" hidden="false" customHeight="false" outlineLevel="0" collapsed="false">
      <c r="A14" s="8" t="s">
        <v>12</v>
      </c>
      <c r="B14" s="11" t="n">
        <f aca="false">COUNTIF(Inventory!$H$2:$H$17,"REORDER")</f>
        <v>4</v>
      </c>
    </row>
    <row r="17" customFormat="false" ht="15" hidden="false" customHeight="false" outlineLevel="0" collapsed="false">
      <c r="A17" s="12" t="s">
        <v>13</v>
      </c>
    </row>
    <row r="18" customFormat="false" ht="15" hidden="false" customHeight="false" outlineLevel="0" collapsed="false">
      <c r="A18" s="13" t="s">
        <v>14</v>
      </c>
      <c r="B18" s="13" t="s">
        <v>15</v>
      </c>
      <c r="C18" s="13" t="s">
        <v>16</v>
      </c>
      <c r="D18" s="13" t="s">
        <v>7</v>
      </c>
      <c r="E18" s="13" t="s">
        <v>9</v>
      </c>
      <c r="F18" s="13" t="s">
        <v>10</v>
      </c>
      <c r="G18" s="13" t="s">
        <v>11</v>
      </c>
    </row>
    <row r="19" customFormat="false" ht="15" hidden="false" customHeight="false" outlineLevel="0" collapsed="false">
      <c r="A19" s="14" t="n">
        <v>46204</v>
      </c>
      <c r="B19" s="15" t="n">
        <f aca="false">SUMIFS(Data_Sales!$H$2:$H$1473,Data_Sales!$B$2:$B$1473,$A19)</f>
        <v>11001.55</v>
      </c>
      <c r="C19" s="15" t="n">
        <f aca="false">SUMIFS(Data_Sales!$J$2:$J$1473,Data_Sales!$B$2:$B$1473,$A19)</f>
        <v>6782.65</v>
      </c>
      <c r="D19" s="15" t="n">
        <f aca="false">B19-C19</f>
        <v>4218.9</v>
      </c>
      <c r="E19" s="15" t="n">
        <f aca="false">SUMIFS(Data_Expenses!$E$2:$E$40,Data_Expenses!$B$2:$B$40,$A19)</f>
        <v>2856.94</v>
      </c>
      <c r="F19" s="15" t="n">
        <f aca="false">D19-E19</f>
        <v>1361.96</v>
      </c>
      <c r="G19" s="16" t="n">
        <f aca="false">IF(B19=0,0,F19/B19)</f>
        <v>0.123797101317542</v>
      </c>
    </row>
    <row r="20" customFormat="false" ht="15" hidden="false" customHeight="false" outlineLevel="0" collapsed="false">
      <c r="A20" s="17" t="n">
        <v>46235</v>
      </c>
      <c r="B20" s="18" t="n">
        <f aca="false">SUMIFS(Data_Sales!$H$2:$H$1473,Data_Sales!$B$2:$B$1473,$A20)</f>
        <v>11340</v>
      </c>
      <c r="C20" s="18" t="n">
        <f aca="false">SUMIFS(Data_Sales!$J$2:$J$1473,Data_Sales!$B$2:$B$1473,$A20)</f>
        <v>6996.65</v>
      </c>
      <c r="D20" s="18" t="n">
        <f aca="false">B20-C20</f>
        <v>4343.35</v>
      </c>
      <c r="E20" s="18" t="n">
        <f aca="false">SUMIFS(Data_Expenses!$E$2:$E$40,Data_Expenses!$B$2:$B$40,$A20)</f>
        <v>3100.85</v>
      </c>
      <c r="F20" s="18" t="n">
        <f aca="false">D20-E20</f>
        <v>1242.5</v>
      </c>
      <c r="G20" s="19" t="n">
        <f aca="false">IF(B20=0,0,F20/B20)</f>
        <v>0.109567901234568</v>
      </c>
    </row>
    <row r="21" customFormat="false" ht="15" hidden="false" customHeight="false" outlineLevel="0" collapsed="false">
      <c r="A21" s="14" t="n">
        <v>46266</v>
      </c>
      <c r="B21" s="15" t="n">
        <f aca="false">SUMIFS(Data_Sales!$H$2:$H$1473,Data_Sales!$B$2:$B$1473,$A21)</f>
        <v>11369.45</v>
      </c>
      <c r="C21" s="15" t="n">
        <f aca="false">SUMIFS(Data_Sales!$J$2:$J$1473,Data_Sales!$B$2:$B$1473,$A21)</f>
        <v>7023.45</v>
      </c>
      <c r="D21" s="15" t="n">
        <f aca="false">B21-C21</f>
        <v>4346</v>
      </c>
      <c r="E21" s="15" t="n">
        <f aca="false">SUMIFS(Data_Expenses!$E$2:$E$40,Data_Expenses!$B$2:$B$40,$A21)</f>
        <v>2949.72</v>
      </c>
      <c r="F21" s="15" t="n">
        <f aca="false">D21-E21</f>
        <v>1396.28</v>
      </c>
      <c r="G21" s="16" t="n">
        <f aca="false">IF(B21=0,0,F21/B21)</f>
        <v>0.122809810500948</v>
      </c>
    </row>
    <row r="22" customFormat="false" ht="15" hidden="false" customHeight="false" outlineLevel="0" collapsed="false">
      <c r="A22" s="20" t="s">
        <v>17</v>
      </c>
      <c r="B22" s="21" t="n">
        <f aca="false">SUM(B19:B21)</f>
        <v>33711</v>
      </c>
      <c r="C22" s="21" t="n">
        <f aca="false">SUM(C19:C21)</f>
        <v>20802.75</v>
      </c>
      <c r="D22" s="21" t="n">
        <f aca="false">SUM(D19:D21)</f>
        <v>12908.25</v>
      </c>
      <c r="E22" s="21" t="n">
        <f aca="false">SUM(E19:E21)</f>
        <v>8907.51</v>
      </c>
      <c r="F22" s="21" t="n">
        <f aca="false">SUM(F19:F21)</f>
        <v>4000.74</v>
      </c>
      <c r="G22" s="22" t="n">
        <f aca="false">IF(B22=0,0,F22/B22)</f>
        <v>0.118677582984782</v>
      </c>
    </row>
    <row r="24" customFormat="false" ht="15" hidden="false" customHeight="false" outlineLevel="0" collapsed="false">
      <c r="A24" s="23" t="s">
        <v>18</v>
      </c>
    </row>
    <row r="25" customFormat="false" ht="15" hidden="false" customHeight="false" outlineLevel="0" collapsed="false">
      <c r="A25" s="24" t="s">
        <v>19</v>
      </c>
    </row>
    <row r="26" customFormat="false" ht="15" hidden="false" customHeight="false" outlineLevel="0" collapsed="false">
      <c r="A26" s="24" t="s">
        <v>20</v>
      </c>
    </row>
    <row r="27" customFormat="false" ht="15" hidden="false" customHeight="false" outlineLevel="0" collapsed="false">
      <c r="A27" s="2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4"/>
  </cols>
  <sheetData>
    <row r="1" customFormat="false" ht="19.7" hidden="false" customHeight="false" outlineLevel="0" collapsed="false">
      <c r="A1" s="1" t="s">
        <v>22</v>
      </c>
    </row>
    <row r="3" customFormat="false" ht="15" hidden="false" customHeight="false" outlineLevel="0" collapsed="false">
      <c r="A3" s="12" t="s">
        <v>23</v>
      </c>
    </row>
    <row r="4" customFormat="false" ht="15" hidden="false" customHeight="false" outlineLevel="0" collapsed="false">
      <c r="A4" s="13" t="s">
        <v>24</v>
      </c>
      <c r="B4" s="25" t="n">
        <v>46204</v>
      </c>
      <c r="C4" s="25" t="n">
        <v>46235</v>
      </c>
      <c r="D4" s="25" t="n">
        <v>46266</v>
      </c>
      <c r="E4" s="13" t="s">
        <v>17</v>
      </c>
      <c r="F4" s="13" t="s">
        <v>25</v>
      </c>
    </row>
    <row r="5" customFormat="false" ht="15" hidden="false" customHeight="false" outlineLevel="0" collapsed="false">
      <c r="A5" s="26" t="s">
        <v>26</v>
      </c>
      <c r="B5" s="15" t="n">
        <f aca="false">SUMIFS(Data_Sales!$H$2:$H$1473,Data_Sales!$E$2:$E$1473,$A5,Data_Sales!$B$2:$B$1473,B$4)</f>
        <v>2988.8</v>
      </c>
      <c r="C5" s="15" t="n">
        <f aca="false">SUMIFS(Data_Sales!$H$2:$H$1473,Data_Sales!$E$2:$E$1473,$A5,Data_Sales!$B$2:$B$1473,C$4)</f>
        <v>3144.3</v>
      </c>
      <c r="D5" s="15" t="n">
        <f aca="false">SUMIFS(Data_Sales!$H$2:$H$1473,Data_Sales!$E$2:$E$1473,$A5,Data_Sales!$B$2:$B$1473,D$4)</f>
        <v>3203.6</v>
      </c>
      <c r="E5" s="15" t="n">
        <f aca="false">SUM(B5:D5)</f>
        <v>9336.7</v>
      </c>
      <c r="F5" s="16" t="n">
        <f aca="false">IF(E$9=0,0,E5/E$9)</f>
        <v>0.27696300910682</v>
      </c>
    </row>
    <row r="6" customFormat="false" ht="15" hidden="false" customHeight="false" outlineLevel="0" collapsed="false">
      <c r="A6" s="27" t="s">
        <v>27</v>
      </c>
      <c r="B6" s="18" t="n">
        <f aca="false">SUMIFS(Data_Sales!$H$2:$H$1473,Data_Sales!$E$2:$E$1473,$A6,Data_Sales!$B$2:$B$1473,B$4)</f>
        <v>2758.85</v>
      </c>
      <c r="C6" s="18" t="n">
        <f aca="false">SUMIFS(Data_Sales!$H$2:$H$1473,Data_Sales!$E$2:$E$1473,$A6,Data_Sales!$B$2:$B$1473,C$4)</f>
        <v>2888</v>
      </c>
      <c r="D6" s="18" t="n">
        <f aca="false">SUMIFS(Data_Sales!$H$2:$H$1473,Data_Sales!$E$2:$E$1473,$A6,Data_Sales!$B$2:$B$1473,D$4)</f>
        <v>2786.65</v>
      </c>
      <c r="E6" s="18" t="n">
        <f aca="false">SUM(B6:D6)</f>
        <v>8433.5</v>
      </c>
      <c r="F6" s="19" t="n">
        <f aca="false">IF(E$9=0,0,E6/E$9)</f>
        <v>0.250170567470559</v>
      </c>
    </row>
    <row r="7" customFormat="false" ht="15" hidden="false" customHeight="false" outlineLevel="0" collapsed="false">
      <c r="A7" s="26" t="s">
        <v>28</v>
      </c>
      <c r="B7" s="15" t="n">
        <f aca="false">SUMIFS(Data_Sales!$H$2:$H$1473,Data_Sales!$E$2:$E$1473,$A7,Data_Sales!$B$2:$B$1473,B$4)</f>
        <v>2762.7</v>
      </c>
      <c r="C7" s="15" t="n">
        <f aca="false">SUMIFS(Data_Sales!$H$2:$H$1473,Data_Sales!$E$2:$E$1473,$A7,Data_Sales!$B$2:$B$1473,C$4)</f>
        <v>2744.6</v>
      </c>
      <c r="D7" s="15" t="n">
        <f aca="false">SUMIFS(Data_Sales!$H$2:$H$1473,Data_Sales!$E$2:$E$1473,$A7,Data_Sales!$B$2:$B$1473,D$4)</f>
        <v>2716.4</v>
      </c>
      <c r="E7" s="15" t="n">
        <f aca="false">SUM(B7:D7)</f>
        <v>8223.7</v>
      </c>
      <c r="F7" s="16" t="n">
        <f aca="false">IF(E$9=0,0,E7/E$9)</f>
        <v>0.243947079588265</v>
      </c>
    </row>
    <row r="8" customFormat="false" ht="15" hidden="false" customHeight="false" outlineLevel="0" collapsed="false">
      <c r="A8" s="27" t="s">
        <v>29</v>
      </c>
      <c r="B8" s="18" t="n">
        <f aca="false">SUMIFS(Data_Sales!$H$2:$H$1473,Data_Sales!$E$2:$E$1473,$A8,Data_Sales!$B$2:$B$1473,B$4)</f>
        <v>2491.2</v>
      </c>
      <c r="C8" s="18" t="n">
        <f aca="false">SUMIFS(Data_Sales!$H$2:$H$1473,Data_Sales!$E$2:$E$1473,$A8,Data_Sales!$B$2:$B$1473,C$4)</f>
        <v>2563.1</v>
      </c>
      <c r="D8" s="18" t="n">
        <f aca="false">SUMIFS(Data_Sales!$H$2:$H$1473,Data_Sales!$E$2:$E$1473,$A8,Data_Sales!$B$2:$B$1473,D$4)</f>
        <v>2662.8</v>
      </c>
      <c r="E8" s="18" t="n">
        <f aca="false">SUM(B8:D8)</f>
        <v>7717.1</v>
      </c>
      <c r="F8" s="19" t="n">
        <f aca="false">IF(E$9=0,0,E8/E$9)</f>
        <v>0.228919343834357</v>
      </c>
    </row>
    <row r="9" customFormat="false" ht="15" hidden="false" customHeight="false" outlineLevel="0" collapsed="false">
      <c r="A9" s="20" t="s">
        <v>17</v>
      </c>
      <c r="B9" s="21" t="n">
        <f aca="false">SUM(B5:B8)</f>
        <v>11001.55</v>
      </c>
      <c r="C9" s="21" t="n">
        <f aca="false">SUM(C5:C8)</f>
        <v>11340</v>
      </c>
      <c r="D9" s="21" t="n">
        <f aca="false">SUM(D5:D8)</f>
        <v>11369.45</v>
      </c>
      <c r="E9" s="21" t="n">
        <f aca="false">SUM(E5:E8)</f>
        <v>33711</v>
      </c>
      <c r="F9" s="22" t="n">
        <f aca="false">SUM(F5:F8)</f>
        <v>1</v>
      </c>
    </row>
    <row r="11" customFormat="false" ht="15" hidden="false" customHeight="false" outlineLevel="0" collapsed="false">
      <c r="A11" s="12" t="s">
        <v>30</v>
      </c>
    </row>
    <row r="12" customFormat="false" ht="15" hidden="false" customHeight="false" outlineLevel="0" collapsed="false">
      <c r="A12" s="13" t="s">
        <v>24</v>
      </c>
      <c r="B12" s="13" t="s">
        <v>15</v>
      </c>
      <c r="C12" s="13" t="s">
        <v>7</v>
      </c>
      <c r="D12" s="13" t="s">
        <v>8</v>
      </c>
    </row>
    <row r="13" customFormat="false" ht="15" hidden="false" customHeight="false" outlineLevel="0" collapsed="false">
      <c r="A13" s="26" t="s">
        <v>26</v>
      </c>
      <c r="B13" s="15" t="n">
        <f aca="false">SUMIFS(Data_Sales!$H$2:$H$1473,Data_Sales!$E$2:$E$1473,$A13)</f>
        <v>9336.7</v>
      </c>
      <c r="C13" s="15" t="n">
        <f aca="false">SUMIFS(Data_Sales!$K$2:$K$1473,Data_Sales!$E$2:$E$1473,$A13)</f>
        <v>2983.35</v>
      </c>
      <c r="D13" s="16" t="n">
        <f aca="false">IF(B13=0,0,C13/B13)</f>
        <v>0.319529384043613</v>
      </c>
    </row>
    <row r="14" customFormat="false" ht="15" hidden="false" customHeight="false" outlineLevel="0" collapsed="false">
      <c r="A14" s="27" t="s">
        <v>27</v>
      </c>
      <c r="B14" s="18" t="n">
        <f aca="false">SUMIFS(Data_Sales!$H$2:$H$1473,Data_Sales!$E$2:$E$1473,$A14)</f>
        <v>8433.5</v>
      </c>
      <c r="C14" s="18" t="n">
        <f aca="false">SUMIFS(Data_Sales!$K$2:$K$1473,Data_Sales!$E$2:$E$1473,$A14)</f>
        <v>3598.2</v>
      </c>
      <c r="D14" s="19" t="n">
        <f aca="false">IF(B14=0,0,C14/B14)</f>
        <v>0.426655599691706</v>
      </c>
    </row>
    <row r="15" customFormat="false" ht="15" hidden="false" customHeight="false" outlineLevel="0" collapsed="false">
      <c r="A15" s="26" t="s">
        <v>28</v>
      </c>
      <c r="B15" s="15" t="n">
        <f aca="false">SUMIFS(Data_Sales!$H$2:$H$1473,Data_Sales!$E$2:$E$1473,$A15)</f>
        <v>8223.7</v>
      </c>
      <c r="C15" s="15" t="n">
        <f aca="false">SUMIFS(Data_Sales!$K$2:$K$1473,Data_Sales!$E$2:$E$1473,$A15)</f>
        <v>3478.8</v>
      </c>
      <c r="D15" s="16" t="n">
        <f aca="false">IF(B15=0,0,C15/B15)</f>
        <v>0.423021267799166</v>
      </c>
    </row>
    <row r="16" customFormat="false" ht="15" hidden="false" customHeight="false" outlineLevel="0" collapsed="false">
      <c r="A16" s="27" t="s">
        <v>29</v>
      </c>
      <c r="B16" s="18" t="n">
        <f aca="false">SUMIFS(Data_Sales!$H$2:$H$1473,Data_Sales!$E$2:$E$1473,$A16)</f>
        <v>7717.1</v>
      </c>
      <c r="C16" s="18" t="n">
        <f aca="false">SUMIFS(Data_Sales!$K$2:$K$1473,Data_Sales!$E$2:$E$1473,$A16)</f>
        <v>2847.9</v>
      </c>
      <c r="D16" s="19" t="n">
        <f aca="false">IF(B16=0,0,C16/B16)</f>
        <v>0.369037591841495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</cols>
  <sheetData>
    <row r="1" customFormat="false" ht="19.7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23.85" hidden="false" customHeight="false" outlineLevel="0" collapsed="false">
      <c r="A4" s="13" t="s">
        <v>33</v>
      </c>
      <c r="B4" s="13" t="s">
        <v>34</v>
      </c>
      <c r="C4" s="13" t="s">
        <v>35</v>
      </c>
      <c r="D4" s="13" t="s">
        <v>24</v>
      </c>
      <c r="E4" s="13" t="s">
        <v>36</v>
      </c>
      <c r="F4" s="13" t="s">
        <v>15</v>
      </c>
      <c r="G4" s="13" t="s">
        <v>7</v>
      </c>
      <c r="H4" s="13" t="s">
        <v>8</v>
      </c>
      <c r="I4" s="13" t="s">
        <v>25</v>
      </c>
    </row>
    <row r="5" customFormat="false" ht="15" hidden="false" customHeight="false" outlineLevel="0" collapsed="false">
      <c r="A5" s="28" t="n">
        <f aca="false">RANK(F5,$F$5:$F$20)</f>
        <v>1</v>
      </c>
      <c r="B5" s="26" t="s">
        <v>37</v>
      </c>
      <c r="C5" s="26" t="s">
        <v>38</v>
      </c>
      <c r="D5" s="26" t="s">
        <v>26</v>
      </c>
      <c r="E5" s="29" t="n">
        <f aca="false">SUMIFS(Data_Sales!$F$2:$F$1473,Data_Sales!$C$2:$C$1473,$B5)</f>
        <v>2561</v>
      </c>
      <c r="F5" s="15" t="n">
        <f aca="false">SUMIFS(Data_Sales!$H$2:$H$1473,Data_Sales!$C$2:$C$1473,$B5)</f>
        <v>3073.2</v>
      </c>
      <c r="G5" s="15" t="n">
        <f aca="false">SUMIFS(Data_Sales!$K$2:$K$1473,Data_Sales!$C$2:$C$1473,$B5)</f>
        <v>896.35</v>
      </c>
      <c r="H5" s="16" t="n">
        <f aca="false">IF(F5=0,0,G5/F5)</f>
        <v>0.291666666666667</v>
      </c>
      <c r="I5" s="16" t="n">
        <f aca="false">IF(F$21=0,0,F5/F$21)</f>
        <v>0.0911631218296698</v>
      </c>
    </row>
    <row r="6" customFormat="false" ht="15" hidden="false" customHeight="false" outlineLevel="0" collapsed="false">
      <c r="A6" s="30" t="n">
        <f aca="false">RANK(F6,$F$5:$F$20)</f>
        <v>2</v>
      </c>
      <c r="B6" s="27" t="s">
        <v>39</v>
      </c>
      <c r="C6" s="27" t="s">
        <v>40</v>
      </c>
      <c r="D6" s="27" t="s">
        <v>27</v>
      </c>
      <c r="E6" s="31" t="n">
        <f aca="false">SUMIFS(Data_Sales!$F$2:$F$1473,Data_Sales!$C$2:$C$1473,$B6)</f>
        <v>2839</v>
      </c>
      <c r="F6" s="18" t="n">
        <f aca="false">SUMIFS(Data_Sales!$H$2:$H$1473,Data_Sales!$C$2:$C$1473,$B6)</f>
        <v>2839</v>
      </c>
      <c r="G6" s="18" t="n">
        <f aca="false">SUMIFS(Data_Sales!$K$2:$K$1473,Data_Sales!$C$2:$C$1473,$B6)</f>
        <v>1135.6</v>
      </c>
      <c r="H6" s="19" t="n">
        <f aca="false">IF(F6=0,0,G6/F6)</f>
        <v>0.4</v>
      </c>
      <c r="I6" s="19" t="n">
        <f aca="false">IF(F$21=0,0,F6/F$21)</f>
        <v>0.0842158345940494</v>
      </c>
    </row>
    <row r="7" customFormat="false" ht="15" hidden="false" customHeight="false" outlineLevel="0" collapsed="false">
      <c r="A7" s="28" t="n">
        <f aca="false">RANK(F7,$F$5:$F$20)</f>
        <v>3</v>
      </c>
      <c r="B7" s="26" t="s">
        <v>41</v>
      </c>
      <c r="C7" s="26" t="s">
        <v>42</v>
      </c>
      <c r="D7" s="26" t="s">
        <v>28</v>
      </c>
      <c r="E7" s="29" t="n">
        <f aca="false">SUMIFS(Data_Sales!$F$2:$F$1473,Data_Sales!$C$2:$C$1473,$B7)</f>
        <v>2161</v>
      </c>
      <c r="F7" s="15" t="n">
        <f aca="false">SUMIFS(Data_Sales!$H$2:$H$1473,Data_Sales!$C$2:$C$1473,$B7)</f>
        <v>2809.3</v>
      </c>
      <c r="G7" s="15" t="n">
        <f aca="false">SUMIFS(Data_Sales!$K$2:$K$1473,Data_Sales!$C$2:$C$1473,$B7)</f>
        <v>1080.5</v>
      </c>
      <c r="H7" s="16" t="n">
        <f aca="false">IF(F7=0,0,G7/F7)</f>
        <v>0.384615384615385</v>
      </c>
      <c r="I7" s="16" t="n">
        <f aca="false">IF(F$21=0,0,F7/F$21)</f>
        <v>0.0833348165287295</v>
      </c>
    </row>
    <row r="8" customFormat="false" ht="15" hidden="false" customHeight="false" outlineLevel="0" collapsed="false">
      <c r="A8" s="30" t="n">
        <f aca="false">RANK(F8,$F$5:$F$20)</f>
        <v>4</v>
      </c>
      <c r="B8" s="27" t="s">
        <v>43</v>
      </c>
      <c r="C8" s="27" t="s">
        <v>44</v>
      </c>
      <c r="D8" s="27" t="s">
        <v>26</v>
      </c>
      <c r="E8" s="31" t="n">
        <f aca="false">SUMIFS(Data_Sales!$F$2:$F$1473,Data_Sales!$C$2:$C$1473,$B8)</f>
        <v>738</v>
      </c>
      <c r="F8" s="18" t="n">
        <f aca="false">SUMIFS(Data_Sales!$H$2:$H$1473,Data_Sales!$C$2:$C$1473,$B8)</f>
        <v>2804.4</v>
      </c>
      <c r="G8" s="18" t="n">
        <f aca="false">SUMIFS(Data_Sales!$K$2:$K$1473,Data_Sales!$C$2:$C$1473,$B8)</f>
        <v>885.6</v>
      </c>
      <c r="H8" s="19" t="n">
        <f aca="false">IF(F8=0,0,G8/F8)</f>
        <v>0.315789473684211</v>
      </c>
      <c r="I8" s="19" t="n">
        <f aca="false">IF(F$21=0,0,F8/F$21)</f>
        <v>0.0831894633799057</v>
      </c>
    </row>
    <row r="9" customFormat="false" ht="15" hidden="false" customHeight="false" outlineLevel="0" collapsed="false">
      <c r="A9" s="28" t="n">
        <f aca="false">RANK(F9,$F$5:$F$20)</f>
        <v>5</v>
      </c>
      <c r="B9" s="26" t="s">
        <v>45</v>
      </c>
      <c r="C9" s="26" t="s">
        <v>46</v>
      </c>
      <c r="D9" s="26" t="s">
        <v>29</v>
      </c>
      <c r="E9" s="29" t="n">
        <f aca="false">SUMIFS(Data_Sales!$F$2:$F$1473,Data_Sales!$C$2:$C$1473,$B9)</f>
        <v>531</v>
      </c>
      <c r="F9" s="15" t="n">
        <f aca="false">SUMIFS(Data_Sales!$H$2:$H$1473,Data_Sales!$C$2:$C$1473,$B9)</f>
        <v>2761.2</v>
      </c>
      <c r="G9" s="15" t="n">
        <f aca="false">SUMIFS(Data_Sales!$K$2:$K$1473,Data_Sales!$C$2:$C$1473,$B9)</f>
        <v>902.7</v>
      </c>
      <c r="H9" s="16" t="n">
        <f aca="false">IF(F9=0,0,G9/F9)</f>
        <v>0.326923076923077</v>
      </c>
      <c r="I9" s="16" t="n">
        <f aca="false">IF(F$21=0,0,F9/F$21)</f>
        <v>0.0819079825576222</v>
      </c>
    </row>
    <row r="10" customFormat="false" ht="15" hidden="false" customHeight="false" outlineLevel="0" collapsed="false">
      <c r="A10" s="30" t="n">
        <f aca="false">RANK(F10,$F$5:$F$20)</f>
        <v>6</v>
      </c>
      <c r="B10" s="27" t="s">
        <v>47</v>
      </c>
      <c r="C10" s="27" t="s">
        <v>48</v>
      </c>
      <c r="D10" s="27" t="s">
        <v>26</v>
      </c>
      <c r="E10" s="31" t="n">
        <f aca="false">SUMIFS(Data_Sales!$F$2:$F$1473,Data_Sales!$C$2:$C$1473,$B10)</f>
        <v>1036</v>
      </c>
      <c r="F10" s="18" t="n">
        <f aca="false">SUMIFS(Data_Sales!$H$2:$H$1473,Data_Sales!$C$2:$C$1473,$B10)</f>
        <v>2279.2</v>
      </c>
      <c r="G10" s="18" t="n">
        <f aca="false">SUMIFS(Data_Sales!$K$2:$K$1473,Data_Sales!$C$2:$C$1473,$B10)</f>
        <v>828.8</v>
      </c>
      <c r="H10" s="19" t="n">
        <f aca="false">IF(F10=0,0,G10/F10)</f>
        <v>0.363636363636364</v>
      </c>
      <c r="I10" s="19" t="n">
        <f aca="false">IF(F$21=0,0,F10/F$21)</f>
        <v>0.0676099789386254</v>
      </c>
    </row>
    <row r="11" customFormat="false" ht="15" hidden="false" customHeight="false" outlineLevel="0" collapsed="false">
      <c r="A11" s="28" t="n">
        <f aca="false">RANK(F11,$F$5:$F$20)</f>
        <v>7</v>
      </c>
      <c r="B11" s="26" t="s">
        <v>49</v>
      </c>
      <c r="C11" s="26" t="s">
        <v>50</v>
      </c>
      <c r="D11" s="26" t="s">
        <v>28</v>
      </c>
      <c r="E11" s="29" t="n">
        <f aca="false">SUMIFS(Data_Sales!$F$2:$F$1473,Data_Sales!$C$2:$C$1473,$B11)</f>
        <v>1795</v>
      </c>
      <c r="F11" s="15" t="n">
        <f aca="false">SUMIFS(Data_Sales!$H$2:$H$1473,Data_Sales!$C$2:$C$1473,$B11)</f>
        <v>2154</v>
      </c>
      <c r="G11" s="15" t="n">
        <f aca="false">SUMIFS(Data_Sales!$K$2:$K$1473,Data_Sales!$C$2:$C$1473,$B11)</f>
        <v>897.5</v>
      </c>
      <c r="H11" s="16" t="n">
        <f aca="false">IF(F11=0,0,G11/F11)</f>
        <v>0.416666666666667</v>
      </c>
      <c r="I11" s="16" t="n">
        <f aca="false">IF(F$21=0,0,F11/F$21)</f>
        <v>0.063896057666637</v>
      </c>
    </row>
    <row r="12" customFormat="false" ht="15" hidden="false" customHeight="false" outlineLevel="0" collapsed="false">
      <c r="A12" s="30" t="n">
        <f aca="false">RANK(F12,$F$5:$F$20)</f>
        <v>8</v>
      </c>
      <c r="B12" s="27" t="s">
        <v>51</v>
      </c>
      <c r="C12" s="27" t="s">
        <v>52</v>
      </c>
      <c r="D12" s="27" t="s">
        <v>28</v>
      </c>
      <c r="E12" s="31" t="n">
        <f aca="false">SUMIFS(Data_Sales!$F$2:$F$1473,Data_Sales!$C$2:$C$1473,$B12)</f>
        <v>2328</v>
      </c>
      <c r="F12" s="18" t="n">
        <f aca="false">SUMIFS(Data_Sales!$H$2:$H$1473,Data_Sales!$C$2:$C$1473,$B12)</f>
        <v>1978.8</v>
      </c>
      <c r="G12" s="18" t="n">
        <f aca="false">SUMIFS(Data_Sales!$K$2:$K$1473,Data_Sales!$C$2:$C$1473,$B12)</f>
        <v>931.2</v>
      </c>
      <c r="H12" s="19" t="n">
        <f aca="false">IF(F12=0,0,G12/F12)</f>
        <v>0.470588235294118</v>
      </c>
      <c r="I12" s="19" t="n">
        <f aca="false">IF(F$21=0,0,F12/F$21)</f>
        <v>0.0586989409984871</v>
      </c>
    </row>
    <row r="13" customFormat="false" ht="15" hidden="false" customHeight="false" outlineLevel="0" collapsed="false">
      <c r="A13" s="28" t="n">
        <f aca="false">RANK(F13,$F$5:$F$20)</f>
        <v>9</v>
      </c>
      <c r="B13" s="26" t="s">
        <v>53</v>
      </c>
      <c r="C13" s="26" t="s">
        <v>54</v>
      </c>
      <c r="D13" s="26" t="s">
        <v>27</v>
      </c>
      <c r="E13" s="29" t="n">
        <f aca="false">SUMIFS(Data_Sales!$F$2:$F$1473,Data_Sales!$C$2:$C$1473,$B13)</f>
        <v>1988</v>
      </c>
      <c r="F13" s="15" t="n">
        <f aca="false">SUMIFS(Data_Sales!$H$2:$H$1473,Data_Sales!$C$2:$C$1473,$B13)</f>
        <v>1888.6</v>
      </c>
      <c r="G13" s="15" t="n">
        <f aca="false">SUMIFS(Data_Sales!$K$2:$K$1473,Data_Sales!$C$2:$C$1473,$B13)</f>
        <v>795.2</v>
      </c>
      <c r="H13" s="16" t="n">
        <f aca="false">IF(F13=0,0,G13/F13)</f>
        <v>0.421052631578947</v>
      </c>
      <c r="I13" s="16" t="n">
        <f aca="false">IF(F$21=0,0,F13/F$21)</f>
        <v>0.0560232565038118</v>
      </c>
    </row>
    <row r="14" customFormat="false" ht="15" hidden="false" customHeight="false" outlineLevel="0" collapsed="false">
      <c r="A14" s="30" t="n">
        <f aca="false">RANK(F14,$F$5:$F$20)</f>
        <v>10</v>
      </c>
      <c r="B14" s="27" t="s">
        <v>55</v>
      </c>
      <c r="C14" s="27" t="s">
        <v>56</v>
      </c>
      <c r="D14" s="27" t="s">
        <v>29</v>
      </c>
      <c r="E14" s="31" t="n">
        <f aca="false">SUMIFS(Data_Sales!$F$2:$F$1473,Data_Sales!$C$2:$C$1473,$B14)</f>
        <v>752</v>
      </c>
      <c r="F14" s="18" t="n">
        <f aca="false">SUMIFS(Data_Sales!$H$2:$H$1473,Data_Sales!$C$2:$C$1473,$B14)</f>
        <v>1880</v>
      </c>
      <c r="G14" s="18" t="n">
        <f aca="false">SUMIFS(Data_Sales!$K$2:$K$1473,Data_Sales!$C$2:$C$1473,$B14)</f>
        <v>676.8</v>
      </c>
      <c r="H14" s="19" t="n">
        <f aca="false">IF(F14=0,0,G14/F14)</f>
        <v>0.36</v>
      </c>
      <c r="I14" s="19" t="n">
        <f aca="false">IF(F$21=0,0,F14/F$21)</f>
        <v>0.055768146895672</v>
      </c>
    </row>
    <row r="15" customFormat="false" ht="15" hidden="false" customHeight="false" outlineLevel="0" collapsed="false">
      <c r="A15" s="28" t="n">
        <f aca="false">RANK(F15,$F$5:$F$20)</f>
        <v>11</v>
      </c>
      <c r="B15" s="26" t="s">
        <v>57</v>
      </c>
      <c r="C15" s="26" t="s">
        <v>58</v>
      </c>
      <c r="D15" s="26" t="s">
        <v>27</v>
      </c>
      <c r="E15" s="29" t="n">
        <f aca="false">SUMIFS(Data_Sales!$F$2:$F$1473,Data_Sales!$C$2:$C$1473,$B15)</f>
        <v>1237</v>
      </c>
      <c r="F15" s="15" t="n">
        <f aca="false">SUMIFS(Data_Sales!$H$2:$H$1473,Data_Sales!$C$2:$C$1473,$B15)</f>
        <v>1855.5</v>
      </c>
      <c r="G15" s="15" t="n">
        <f aca="false">SUMIFS(Data_Sales!$K$2:$K$1473,Data_Sales!$C$2:$C$1473,$B15)</f>
        <v>742.2</v>
      </c>
      <c r="H15" s="16" t="n">
        <f aca="false">IF(F15=0,0,G15/F15)</f>
        <v>0.4</v>
      </c>
      <c r="I15" s="16" t="n">
        <f aca="false">IF(F$21=0,0,F15/F$21)</f>
        <v>0.0550413811515529</v>
      </c>
    </row>
    <row r="16" customFormat="false" ht="15" hidden="false" customHeight="false" outlineLevel="0" collapsed="false">
      <c r="A16" s="30" t="n">
        <f aca="false">RANK(F16,$F$5:$F$20)</f>
        <v>12</v>
      </c>
      <c r="B16" s="27" t="s">
        <v>59</v>
      </c>
      <c r="C16" s="27" t="s">
        <v>60</v>
      </c>
      <c r="D16" s="27" t="s">
        <v>27</v>
      </c>
      <c r="E16" s="31" t="n">
        <f aca="false">SUMIFS(Data_Sales!$F$2:$F$1473,Data_Sales!$C$2:$C$1473,$B16)</f>
        <v>3084</v>
      </c>
      <c r="F16" s="18" t="n">
        <f aca="false">SUMIFS(Data_Sales!$H$2:$H$1473,Data_Sales!$C$2:$C$1473,$B16)</f>
        <v>1850.4</v>
      </c>
      <c r="G16" s="18" t="n">
        <f aca="false">SUMIFS(Data_Sales!$K$2:$K$1473,Data_Sales!$C$2:$C$1473,$B16)</f>
        <v>925.2</v>
      </c>
      <c r="H16" s="19" t="n">
        <f aca="false">IF(F16=0,0,G16/F16)</f>
        <v>0.5</v>
      </c>
      <c r="I16" s="19" t="n">
        <f aca="false">IF(F$21=0,0,F16/F$21)</f>
        <v>0.0548900952211444</v>
      </c>
    </row>
    <row r="17" customFormat="false" ht="15" hidden="false" customHeight="false" outlineLevel="0" collapsed="false">
      <c r="A17" s="28" t="n">
        <f aca="false">RANK(F17,$F$5:$F$20)</f>
        <v>13</v>
      </c>
      <c r="B17" s="26" t="s">
        <v>61</v>
      </c>
      <c r="C17" s="26" t="s">
        <v>62</v>
      </c>
      <c r="D17" s="26" t="s">
        <v>29</v>
      </c>
      <c r="E17" s="29" t="n">
        <f aca="false">SUMIFS(Data_Sales!$F$2:$F$1473,Data_Sales!$C$2:$C$1473,$B17)</f>
        <v>951</v>
      </c>
      <c r="F17" s="15" t="n">
        <f aca="false">SUMIFS(Data_Sales!$H$2:$H$1473,Data_Sales!$C$2:$C$1473,$B17)</f>
        <v>1806.9</v>
      </c>
      <c r="G17" s="15" t="n">
        <f aca="false">SUMIFS(Data_Sales!$K$2:$K$1473,Data_Sales!$C$2:$C$1473,$B17)</f>
        <v>760.8</v>
      </c>
      <c r="H17" s="16" t="n">
        <f aca="false">IF(F17=0,0,G17/F17)</f>
        <v>0.421052631578947</v>
      </c>
      <c r="I17" s="16" t="n">
        <f aca="false">IF(F$21=0,0,F17/F$21)</f>
        <v>0.0535997152264839</v>
      </c>
    </row>
    <row r="18" customFormat="false" ht="15" hidden="false" customHeight="false" outlineLevel="0" collapsed="false">
      <c r="A18" s="30" t="n">
        <f aca="false">RANK(F18,$F$5:$F$20)</f>
        <v>14</v>
      </c>
      <c r="B18" s="27" t="s">
        <v>63</v>
      </c>
      <c r="C18" s="27" t="s">
        <v>64</v>
      </c>
      <c r="D18" s="27" t="s">
        <v>28</v>
      </c>
      <c r="E18" s="31" t="n">
        <f aca="false">SUMIFS(Data_Sales!$F$2:$F$1473,Data_Sales!$C$2:$C$1473,$B18)</f>
        <v>1424</v>
      </c>
      <c r="F18" s="18" t="n">
        <f aca="false">SUMIFS(Data_Sales!$H$2:$H$1473,Data_Sales!$C$2:$C$1473,$B18)</f>
        <v>1281.6</v>
      </c>
      <c r="G18" s="18" t="n">
        <f aca="false">SUMIFS(Data_Sales!$K$2:$K$1473,Data_Sales!$C$2:$C$1473,$B18)</f>
        <v>569.6</v>
      </c>
      <c r="H18" s="19" t="n">
        <f aca="false">IF(F18=0,0,G18/F18)</f>
        <v>0.444444444444444</v>
      </c>
      <c r="I18" s="19" t="n">
        <f aca="false">IF(F$21=0,0,F18/F$21)</f>
        <v>0.0380172643944113</v>
      </c>
    </row>
    <row r="19" customFormat="false" ht="15" hidden="false" customHeight="false" outlineLevel="0" collapsed="false">
      <c r="A19" s="28" t="n">
        <f aca="false">RANK(F19,$F$5:$F$20)</f>
        <v>15</v>
      </c>
      <c r="B19" s="26" t="s">
        <v>65</v>
      </c>
      <c r="C19" s="26" t="s">
        <v>66</v>
      </c>
      <c r="D19" s="26" t="s">
        <v>29</v>
      </c>
      <c r="E19" s="29" t="n">
        <f aca="false">SUMIFS(Data_Sales!$F$2:$F$1473,Data_Sales!$C$2:$C$1473,$B19)</f>
        <v>846</v>
      </c>
      <c r="F19" s="15" t="n">
        <f aca="false">SUMIFS(Data_Sales!$H$2:$H$1473,Data_Sales!$C$2:$C$1473,$B19)</f>
        <v>1269</v>
      </c>
      <c r="G19" s="15" t="n">
        <f aca="false">SUMIFS(Data_Sales!$K$2:$K$1473,Data_Sales!$C$2:$C$1473,$B19)</f>
        <v>507.6</v>
      </c>
      <c r="H19" s="16" t="n">
        <f aca="false">IF(F19=0,0,G19/F19)</f>
        <v>0.4</v>
      </c>
      <c r="I19" s="16" t="n">
        <f aca="false">IF(F$21=0,0,F19/F$21)</f>
        <v>0.0376434991545786</v>
      </c>
    </row>
    <row r="20" customFormat="false" ht="15" hidden="false" customHeight="false" outlineLevel="0" collapsed="false">
      <c r="A20" s="30" t="n">
        <f aca="false">RANK(F20,$F$5:$F$20)</f>
        <v>16</v>
      </c>
      <c r="B20" s="27" t="s">
        <v>67</v>
      </c>
      <c r="C20" s="27" t="s">
        <v>68</v>
      </c>
      <c r="D20" s="27" t="s">
        <v>26</v>
      </c>
      <c r="E20" s="31" t="n">
        <f aca="false">SUMIFS(Data_Sales!$F$2:$F$1473,Data_Sales!$C$2:$C$1473,$B20)</f>
        <v>621</v>
      </c>
      <c r="F20" s="18" t="n">
        <f aca="false">SUMIFS(Data_Sales!$H$2:$H$1473,Data_Sales!$C$2:$C$1473,$B20)</f>
        <v>1179.9</v>
      </c>
      <c r="G20" s="18" t="n">
        <f aca="false">SUMIFS(Data_Sales!$K$2:$K$1473,Data_Sales!$C$2:$C$1473,$B20)</f>
        <v>372.6</v>
      </c>
      <c r="H20" s="19" t="n">
        <f aca="false">IF(F20=0,0,G20/F20)</f>
        <v>0.315789473684211</v>
      </c>
      <c r="I20" s="19" t="n">
        <f aca="false">IF(F$21=0,0,F20/F$21)</f>
        <v>0.0350004449586188</v>
      </c>
    </row>
    <row r="21" customFormat="false" ht="15" hidden="false" customHeight="false" outlineLevel="0" collapsed="false">
      <c r="A21" s="20" t="s">
        <v>17</v>
      </c>
      <c r="B21" s="20"/>
      <c r="C21" s="20"/>
      <c r="D21" s="20"/>
      <c r="E21" s="32" t="n">
        <f aca="false">SUM(E5:E20)</f>
        <v>24892</v>
      </c>
      <c r="F21" s="21" t="n">
        <f aca="false">SUM(F5:F20)</f>
        <v>33711</v>
      </c>
      <c r="G21" s="21" t="n">
        <f aca="false">SUM(G5:G20)</f>
        <v>12908.25</v>
      </c>
      <c r="H21" s="22" t="n">
        <f aca="false">IF(F21=0,0,G21/F21)</f>
        <v>0.382909139450031</v>
      </c>
      <c r="I21" s="22" t="n">
        <f aca="false">SUM(I5:I20)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3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15" hidden="false" customHeight="false" outlineLevel="0" collapsed="false">
      <c r="A4" s="13" t="s">
        <v>24</v>
      </c>
      <c r="B4" s="25" t="n">
        <v>46204</v>
      </c>
      <c r="C4" s="25" t="n">
        <v>46235</v>
      </c>
      <c r="D4" s="25" t="n">
        <v>46266</v>
      </c>
      <c r="E4" s="13" t="s">
        <v>17</v>
      </c>
      <c r="F4" s="13" t="s">
        <v>71</v>
      </c>
    </row>
    <row r="5" customFormat="false" ht="15" hidden="false" customHeight="false" outlineLevel="0" collapsed="false">
      <c r="A5" s="26" t="s">
        <v>72</v>
      </c>
      <c r="B5" s="15" t="n">
        <f aca="false">SUMIFS(Data_Expenses!$E$2:$E$40,Data_Expenses!$C$2:$C$40,$A5,Data_Expenses!$B$2:$B$40,B$4)</f>
        <v>1400</v>
      </c>
      <c r="C5" s="15" t="n">
        <f aca="false">SUMIFS(Data_Expenses!$E$2:$E$40,Data_Expenses!$C$2:$C$40,$A5,Data_Expenses!$B$2:$B$40,C$4)</f>
        <v>1400</v>
      </c>
      <c r="D5" s="15" t="n">
        <f aca="false">SUMIFS(Data_Expenses!$E$2:$E$40,Data_Expenses!$C$2:$C$40,$A5,Data_Expenses!$B$2:$B$40,D$4)</f>
        <v>1400</v>
      </c>
      <c r="E5" s="15" t="n">
        <f aca="false">SUM(B5:D5)</f>
        <v>4200</v>
      </c>
      <c r="F5" s="16" t="n">
        <f aca="false">IF(E$11=0,0,E5/E$11)</f>
        <v>0.471512240794566</v>
      </c>
    </row>
    <row r="6" customFormat="false" ht="15" hidden="false" customHeight="false" outlineLevel="0" collapsed="false">
      <c r="A6" s="27" t="s">
        <v>73</v>
      </c>
      <c r="B6" s="18" t="n">
        <f aca="false">SUMIFS(Data_Expenses!$E$2:$E$40,Data_Expenses!$C$2:$C$40,$A6,Data_Expenses!$B$2:$B$40,B$4)</f>
        <v>900</v>
      </c>
      <c r="C6" s="18" t="n">
        <f aca="false">SUMIFS(Data_Expenses!$E$2:$E$40,Data_Expenses!$C$2:$C$40,$A6,Data_Expenses!$B$2:$B$40,C$4)</f>
        <v>900</v>
      </c>
      <c r="D6" s="18" t="n">
        <f aca="false">SUMIFS(Data_Expenses!$E$2:$E$40,Data_Expenses!$C$2:$C$40,$A6,Data_Expenses!$B$2:$B$40,D$4)</f>
        <v>900</v>
      </c>
      <c r="E6" s="18" t="n">
        <f aca="false">SUM(B6:D6)</f>
        <v>2700</v>
      </c>
      <c r="F6" s="19" t="n">
        <f aca="false">IF(E$11=0,0,E6/E$11)</f>
        <v>0.303115011939364</v>
      </c>
    </row>
    <row r="7" customFormat="false" ht="15" hidden="false" customHeight="false" outlineLevel="0" collapsed="false">
      <c r="A7" s="26" t="s">
        <v>74</v>
      </c>
      <c r="B7" s="15" t="n">
        <f aca="false">SUMIFS(Data_Expenses!$E$2:$E$40,Data_Expenses!$C$2:$C$40,$A7,Data_Expenses!$B$2:$B$40,B$4)</f>
        <v>306.22</v>
      </c>
      <c r="C7" s="15" t="n">
        <f aca="false">SUMIFS(Data_Expenses!$E$2:$E$40,Data_Expenses!$C$2:$C$40,$A7,Data_Expenses!$B$2:$B$40,C$4)</f>
        <v>280.83</v>
      </c>
      <c r="D7" s="15" t="n">
        <f aca="false">SUMIFS(Data_Expenses!$E$2:$E$40,Data_Expenses!$C$2:$C$40,$A7,Data_Expenses!$B$2:$B$40,D$4)</f>
        <v>305.91</v>
      </c>
      <c r="E7" s="15" t="n">
        <f aca="false">SUM(B7:D7)</f>
        <v>892.96</v>
      </c>
      <c r="F7" s="16" t="n">
        <f aca="false">IF(E$11=0,0,E7/E$11)</f>
        <v>0.100247992985694</v>
      </c>
    </row>
    <row r="8" customFormat="false" ht="15" hidden="false" customHeight="false" outlineLevel="0" collapsed="false">
      <c r="A8" s="27" t="s">
        <v>75</v>
      </c>
      <c r="B8" s="18" t="n">
        <f aca="false">SUMIFS(Data_Expenses!$E$2:$E$40,Data_Expenses!$C$2:$C$40,$A8,Data_Expenses!$B$2:$B$40,B$4)</f>
        <v>115.6</v>
      </c>
      <c r="C8" s="18" t="n">
        <f aca="false">SUMIFS(Data_Expenses!$E$2:$E$40,Data_Expenses!$C$2:$C$40,$A8,Data_Expenses!$B$2:$B$40,C$4)</f>
        <v>237.41</v>
      </c>
      <c r="D8" s="18" t="n">
        <f aca="false">SUMIFS(Data_Expenses!$E$2:$E$40,Data_Expenses!$C$2:$C$40,$A8,Data_Expenses!$B$2:$B$40,D$4)</f>
        <v>186.62</v>
      </c>
      <c r="E8" s="18" t="n">
        <f aca="false">SUM(B8:D8)</f>
        <v>539.63</v>
      </c>
      <c r="F8" s="19" t="n">
        <f aca="false">IF(E$11=0,0,E8/E$11)</f>
        <v>0.0605814644047551</v>
      </c>
    </row>
    <row r="9" customFormat="false" ht="15" hidden="false" customHeight="false" outlineLevel="0" collapsed="false">
      <c r="A9" s="26" t="s">
        <v>76</v>
      </c>
      <c r="B9" s="15" t="n">
        <f aca="false">SUMIFS(Data_Expenses!$E$2:$E$40,Data_Expenses!$C$2:$C$40,$A9,Data_Expenses!$B$2:$B$40,B$4)</f>
        <v>100.77</v>
      </c>
      <c r="C9" s="15" t="n">
        <f aca="false">SUMIFS(Data_Expenses!$E$2:$E$40,Data_Expenses!$C$2:$C$40,$A9,Data_Expenses!$B$2:$B$40,C$4)</f>
        <v>97.89</v>
      </c>
      <c r="D9" s="15" t="n">
        <f aca="false">SUMIFS(Data_Expenses!$E$2:$E$40,Data_Expenses!$C$2:$C$40,$A9,Data_Expenses!$B$2:$B$40,D$4)</f>
        <v>117.98</v>
      </c>
      <c r="E9" s="15" t="n">
        <f aca="false">SUM(B9:D9)</f>
        <v>316.64</v>
      </c>
      <c r="F9" s="16" t="n">
        <f aca="false">IF(E$11=0,0,E9/E$11)</f>
        <v>0.0355475323631408</v>
      </c>
    </row>
    <row r="10" customFormat="false" ht="15" hidden="false" customHeight="false" outlineLevel="0" collapsed="false">
      <c r="A10" s="27" t="s">
        <v>77</v>
      </c>
      <c r="B10" s="18" t="n">
        <f aca="false">SUMIFS(Data_Expenses!$E$2:$E$40,Data_Expenses!$C$2:$C$40,$A10,Data_Expenses!$B$2:$B$40,B$4)</f>
        <v>34.35</v>
      </c>
      <c r="C10" s="18" t="n">
        <f aca="false">SUMIFS(Data_Expenses!$E$2:$E$40,Data_Expenses!$C$2:$C$40,$A10,Data_Expenses!$B$2:$B$40,C$4)</f>
        <v>184.72</v>
      </c>
      <c r="D10" s="18" t="n">
        <f aca="false">SUMIFS(Data_Expenses!$E$2:$E$40,Data_Expenses!$C$2:$C$40,$A10,Data_Expenses!$B$2:$B$40,D$4)</f>
        <v>39.21</v>
      </c>
      <c r="E10" s="18" t="n">
        <f aca="false">SUM(B10:D10)</f>
        <v>258.28</v>
      </c>
      <c r="F10" s="19" t="n">
        <f aca="false">IF(E$11=0,0,E10/E$11)</f>
        <v>0.028995757512481</v>
      </c>
    </row>
    <row r="11" customFormat="false" ht="15" hidden="false" customHeight="false" outlineLevel="0" collapsed="false">
      <c r="A11" s="20" t="s">
        <v>17</v>
      </c>
      <c r="B11" s="21" t="n">
        <f aca="false">SUM(B5:B10)</f>
        <v>2856.94</v>
      </c>
      <c r="C11" s="21" t="n">
        <f aca="false">SUM(C5:C10)</f>
        <v>3100.85</v>
      </c>
      <c r="D11" s="21" t="n">
        <f aca="false">SUM(D5:D10)</f>
        <v>2949.72</v>
      </c>
      <c r="E11" s="21" t="n">
        <f aca="false">SUM(E5:E10)</f>
        <v>8907.51</v>
      </c>
      <c r="F11" s="22" t="n">
        <f aca="false">SUM(F5:F10)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1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31.5" hidden="false" customHeight="true" outlineLevel="0" collapsed="false">
      <c r="A1" s="13" t="s">
        <v>34</v>
      </c>
      <c r="B1" s="13" t="s">
        <v>35</v>
      </c>
      <c r="C1" s="13" t="s">
        <v>24</v>
      </c>
      <c r="D1" s="13" t="s">
        <v>78</v>
      </c>
      <c r="E1" s="13" t="s">
        <v>79</v>
      </c>
      <c r="F1" s="13" t="s">
        <v>80</v>
      </c>
      <c r="G1" s="13" t="s">
        <v>81</v>
      </c>
      <c r="H1" s="13" t="s">
        <v>82</v>
      </c>
      <c r="I1" s="13" t="s">
        <v>83</v>
      </c>
      <c r="J1" s="13" t="s">
        <v>84</v>
      </c>
      <c r="K1" s="13" t="s">
        <v>85</v>
      </c>
      <c r="L1" s="13" t="s">
        <v>86</v>
      </c>
      <c r="M1" s="13" t="s">
        <v>87</v>
      </c>
    </row>
    <row r="2" customFormat="false" ht="15" hidden="false" customHeight="false" outlineLevel="0" collapsed="false">
      <c r="A2" s="33" t="s">
        <v>39</v>
      </c>
      <c r="B2" s="33" t="s">
        <v>40</v>
      </c>
      <c r="C2" s="33" t="s">
        <v>27</v>
      </c>
      <c r="D2" s="34" t="n">
        <v>0.6</v>
      </c>
      <c r="E2" s="34" t="n">
        <v>1</v>
      </c>
      <c r="F2" s="33" t="n">
        <v>40</v>
      </c>
      <c r="G2" s="33" t="n">
        <v>78</v>
      </c>
      <c r="H2" s="35" t="str">
        <f aca="false">IF(F2&lt;=G2,"REORDER","OK")</f>
        <v>REORDER</v>
      </c>
      <c r="I2" s="36" t="n">
        <f aca="false">F2*D2</f>
        <v>24</v>
      </c>
      <c r="J2" s="37" t="n">
        <f aca="false">IF(E2=0,0,(E2-D2)/E2)</f>
        <v>0.4</v>
      </c>
      <c r="K2" s="38" t="n">
        <f aca="false">SUMIFS(Data_Sales!$F$2:$F$1473,Data_Sales!$C$2:$C$1473,A2)</f>
        <v>2839</v>
      </c>
      <c r="L2" s="39" t="n">
        <f aca="false">K2/Summary!$B$5</f>
        <v>30.8586956521739</v>
      </c>
      <c r="M2" s="39" t="n">
        <f aca="false">IF(L2=0,"",ROUND(F2/L2,1))</f>
        <v>1.3</v>
      </c>
    </row>
    <row r="3" customFormat="false" ht="15" hidden="false" customHeight="false" outlineLevel="0" collapsed="false">
      <c r="A3" s="33" t="s">
        <v>53</v>
      </c>
      <c r="B3" s="33" t="s">
        <v>54</v>
      </c>
      <c r="C3" s="33" t="s">
        <v>27</v>
      </c>
      <c r="D3" s="34" t="n">
        <v>0.55</v>
      </c>
      <c r="E3" s="34" t="n">
        <v>0.95</v>
      </c>
      <c r="F3" s="33" t="n">
        <v>120</v>
      </c>
      <c r="G3" s="33" t="n">
        <v>54</v>
      </c>
      <c r="H3" s="35" t="str">
        <f aca="false">IF(F3&lt;=G3,"REORDER","OK")</f>
        <v>OK</v>
      </c>
      <c r="I3" s="36" t="n">
        <f aca="false">F3*D3</f>
        <v>66</v>
      </c>
      <c r="J3" s="37" t="n">
        <f aca="false">IF(E3=0,0,(E3-D3)/E3)</f>
        <v>0.421052631578947</v>
      </c>
      <c r="K3" s="38" t="n">
        <f aca="false">SUMIFS(Data_Sales!$F$2:$F$1473,Data_Sales!$C$2:$C$1473,A3)</f>
        <v>1988</v>
      </c>
      <c r="L3" s="39" t="n">
        <f aca="false">K3/Summary!$B$5</f>
        <v>21.6086956521739</v>
      </c>
      <c r="M3" s="39" t="n">
        <f aca="false">IF(L3=0,"",ROUND(F3/L3,1))</f>
        <v>5.6</v>
      </c>
    </row>
    <row r="4" customFormat="false" ht="15" hidden="false" customHeight="false" outlineLevel="0" collapsed="false">
      <c r="A4" s="33" t="s">
        <v>59</v>
      </c>
      <c r="B4" s="33" t="s">
        <v>60</v>
      </c>
      <c r="C4" s="33" t="s">
        <v>27</v>
      </c>
      <c r="D4" s="34" t="n">
        <v>0.3</v>
      </c>
      <c r="E4" s="34" t="n">
        <v>0.6</v>
      </c>
      <c r="F4" s="33" t="n">
        <v>55</v>
      </c>
      <c r="G4" s="33" t="n">
        <v>90</v>
      </c>
      <c r="H4" s="35" t="str">
        <f aca="false">IF(F4&lt;=G4,"REORDER","OK")</f>
        <v>REORDER</v>
      </c>
      <c r="I4" s="36" t="n">
        <f aca="false">F4*D4</f>
        <v>16.5</v>
      </c>
      <c r="J4" s="37" t="n">
        <f aca="false">IF(E4=0,0,(E4-D4)/E4)</f>
        <v>0.5</v>
      </c>
      <c r="K4" s="38" t="n">
        <f aca="false">SUMIFS(Data_Sales!$F$2:$F$1473,Data_Sales!$C$2:$C$1473,A4)</f>
        <v>3084</v>
      </c>
      <c r="L4" s="39" t="n">
        <f aca="false">K4/Summary!$B$5</f>
        <v>33.5217391304348</v>
      </c>
      <c r="M4" s="39" t="n">
        <f aca="false">IF(L4=0,"",ROUND(F4/L4,1))</f>
        <v>1.6</v>
      </c>
    </row>
    <row r="5" customFormat="false" ht="15" hidden="false" customHeight="false" outlineLevel="0" collapsed="false">
      <c r="A5" s="33" t="s">
        <v>57</v>
      </c>
      <c r="B5" s="33" t="s">
        <v>58</v>
      </c>
      <c r="C5" s="33" t="s">
        <v>27</v>
      </c>
      <c r="D5" s="34" t="n">
        <v>0.9</v>
      </c>
      <c r="E5" s="34" t="n">
        <v>1.5</v>
      </c>
      <c r="F5" s="33" t="n">
        <v>70</v>
      </c>
      <c r="G5" s="33" t="n">
        <v>36</v>
      </c>
      <c r="H5" s="35" t="str">
        <f aca="false">IF(F5&lt;=G5,"REORDER","OK")</f>
        <v>OK</v>
      </c>
      <c r="I5" s="36" t="n">
        <f aca="false">F5*D5</f>
        <v>63</v>
      </c>
      <c r="J5" s="37" t="n">
        <f aca="false">IF(E5=0,0,(E5-D5)/E5)</f>
        <v>0.4</v>
      </c>
      <c r="K5" s="38" t="n">
        <f aca="false">SUMIFS(Data_Sales!$F$2:$F$1473,Data_Sales!$C$2:$C$1473,A5)</f>
        <v>1237</v>
      </c>
      <c r="L5" s="39" t="n">
        <f aca="false">K5/Summary!$B$5</f>
        <v>13.445652173913</v>
      </c>
      <c r="M5" s="39" t="n">
        <f aca="false">IF(L5=0,"",ROUND(F5/L5,1))</f>
        <v>5.2</v>
      </c>
    </row>
    <row r="6" customFormat="false" ht="15" hidden="false" customHeight="false" outlineLevel="0" collapsed="false">
      <c r="A6" s="33" t="s">
        <v>41</v>
      </c>
      <c r="B6" s="33" t="s">
        <v>42</v>
      </c>
      <c r="C6" s="33" t="s">
        <v>28</v>
      </c>
      <c r="D6" s="34" t="n">
        <v>0.8</v>
      </c>
      <c r="E6" s="34" t="n">
        <v>1.3</v>
      </c>
      <c r="F6" s="33" t="n">
        <v>130</v>
      </c>
      <c r="G6" s="33" t="n">
        <v>60</v>
      </c>
      <c r="H6" s="35" t="str">
        <f aca="false">IF(F6&lt;=G6,"REORDER","OK")</f>
        <v>OK</v>
      </c>
      <c r="I6" s="36" t="n">
        <f aca="false">F6*D6</f>
        <v>104</v>
      </c>
      <c r="J6" s="37" t="n">
        <f aca="false">IF(E6=0,0,(E6-D6)/E6)</f>
        <v>0.384615384615385</v>
      </c>
      <c r="K6" s="38" t="n">
        <f aca="false">SUMIFS(Data_Sales!$F$2:$F$1473,Data_Sales!$C$2:$C$1473,A6)</f>
        <v>2161</v>
      </c>
      <c r="L6" s="39" t="n">
        <f aca="false">K6/Summary!$B$5</f>
        <v>23.4891304347826</v>
      </c>
      <c r="M6" s="39" t="n">
        <f aca="false">IF(L6=0,"",ROUND(F6/L6,1))</f>
        <v>5.5</v>
      </c>
    </row>
    <row r="7" customFormat="false" ht="15" hidden="false" customHeight="false" outlineLevel="0" collapsed="false">
      <c r="A7" s="33" t="s">
        <v>63</v>
      </c>
      <c r="B7" s="33" t="s">
        <v>64</v>
      </c>
      <c r="C7" s="33" t="s">
        <v>28</v>
      </c>
      <c r="D7" s="34" t="n">
        <v>0.5</v>
      </c>
      <c r="E7" s="34" t="n">
        <v>0.9</v>
      </c>
      <c r="F7" s="33" t="n">
        <v>90</v>
      </c>
      <c r="G7" s="33" t="n">
        <v>42</v>
      </c>
      <c r="H7" s="35" t="str">
        <f aca="false">IF(F7&lt;=G7,"REORDER","OK")</f>
        <v>OK</v>
      </c>
      <c r="I7" s="36" t="n">
        <f aca="false">F7*D7</f>
        <v>45</v>
      </c>
      <c r="J7" s="37" t="n">
        <f aca="false">IF(E7=0,0,(E7-D7)/E7)</f>
        <v>0.444444444444445</v>
      </c>
      <c r="K7" s="38" t="n">
        <f aca="false">SUMIFS(Data_Sales!$F$2:$F$1473,Data_Sales!$C$2:$C$1473,A7)</f>
        <v>1424</v>
      </c>
      <c r="L7" s="39" t="n">
        <f aca="false">K7/Summary!$B$5</f>
        <v>15.4782608695652</v>
      </c>
      <c r="M7" s="39" t="n">
        <f aca="false">IF(L7=0,"",ROUND(F7/L7,1))</f>
        <v>5.8</v>
      </c>
    </row>
    <row r="8" customFormat="false" ht="15" hidden="false" customHeight="false" outlineLevel="0" collapsed="false">
      <c r="A8" s="33" t="s">
        <v>49</v>
      </c>
      <c r="B8" s="33" t="s">
        <v>50</v>
      </c>
      <c r="C8" s="33" t="s">
        <v>28</v>
      </c>
      <c r="D8" s="34" t="n">
        <v>0.7</v>
      </c>
      <c r="E8" s="34" t="n">
        <v>1.2</v>
      </c>
      <c r="F8" s="33" t="n">
        <v>110</v>
      </c>
      <c r="G8" s="33" t="n">
        <v>48</v>
      </c>
      <c r="H8" s="35" t="str">
        <f aca="false">IF(F8&lt;=G8,"REORDER","OK")</f>
        <v>OK</v>
      </c>
      <c r="I8" s="36" t="n">
        <f aca="false">F8*D8</f>
        <v>77</v>
      </c>
      <c r="J8" s="37" t="n">
        <f aca="false">IF(E8=0,0,(E8-D8)/E8)</f>
        <v>0.416666666666667</v>
      </c>
      <c r="K8" s="38" t="n">
        <f aca="false">SUMIFS(Data_Sales!$F$2:$F$1473,Data_Sales!$C$2:$C$1473,A8)</f>
        <v>1795</v>
      </c>
      <c r="L8" s="39" t="n">
        <f aca="false">K8/Summary!$B$5</f>
        <v>19.5108695652174</v>
      </c>
      <c r="M8" s="39" t="n">
        <f aca="false">IF(L8=0,"",ROUND(F8/L8,1))</f>
        <v>5.6</v>
      </c>
    </row>
    <row r="9" customFormat="false" ht="15" hidden="false" customHeight="false" outlineLevel="0" collapsed="false">
      <c r="A9" s="33" t="s">
        <v>51</v>
      </c>
      <c r="B9" s="33" t="s">
        <v>52</v>
      </c>
      <c r="C9" s="33" t="s">
        <v>28</v>
      </c>
      <c r="D9" s="34" t="n">
        <v>0.45</v>
      </c>
      <c r="E9" s="34" t="n">
        <v>0.85</v>
      </c>
      <c r="F9" s="33" t="n">
        <v>150</v>
      </c>
      <c r="G9" s="33" t="n">
        <v>66</v>
      </c>
      <c r="H9" s="35" t="str">
        <f aca="false">IF(F9&lt;=G9,"REORDER","OK")</f>
        <v>OK</v>
      </c>
      <c r="I9" s="36" t="n">
        <f aca="false">F9*D9</f>
        <v>67.5</v>
      </c>
      <c r="J9" s="37" t="n">
        <f aca="false">IF(E9=0,0,(E9-D9)/E9)</f>
        <v>0.470588235294118</v>
      </c>
      <c r="K9" s="38" t="n">
        <f aca="false">SUMIFS(Data_Sales!$F$2:$F$1473,Data_Sales!$C$2:$C$1473,A9)</f>
        <v>2328</v>
      </c>
      <c r="L9" s="39" t="n">
        <f aca="false">K9/Summary!$B$5</f>
        <v>25.304347826087</v>
      </c>
      <c r="M9" s="39" t="n">
        <f aca="false">IF(L9=0,"",ROUND(F9/L9,1))</f>
        <v>5.9</v>
      </c>
    </row>
    <row r="10" customFormat="false" ht="15" hidden="false" customHeight="false" outlineLevel="0" collapsed="false">
      <c r="A10" s="33" t="s">
        <v>37</v>
      </c>
      <c r="B10" s="33" t="s">
        <v>38</v>
      </c>
      <c r="C10" s="33" t="s">
        <v>26</v>
      </c>
      <c r="D10" s="34" t="n">
        <v>0.85</v>
      </c>
      <c r="E10" s="34" t="n">
        <v>1.2</v>
      </c>
      <c r="F10" s="33" t="n">
        <v>35</v>
      </c>
      <c r="G10" s="33" t="n">
        <v>72</v>
      </c>
      <c r="H10" s="35" t="str">
        <f aca="false">IF(F10&lt;=G10,"REORDER","OK")</f>
        <v>REORDER</v>
      </c>
      <c r="I10" s="36" t="n">
        <f aca="false">F10*D10</f>
        <v>29.75</v>
      </c>
      <c r="J10" s="37" t="n">
        <f aca="false">IF(E10=0,0,(E10-D10)/E10)</f>
        <v>0.291666666666667</v>
      </c>
      <c r="K10" s="38" t="n">
        <f aca="false">SUMIFS(Data_Sales!$F$2:$F$1473,Data_Sales!$C$2:$C$1473,A10)</f>
        <v>2561</v>
      </c>
      <c r="L10" s="39" t="n">
        <f aca="false">K10/Summary!$B$5</f>
        <v>27.8369565217391</v>
      </c>
      <c r="M10" s="39" t="n">
        <f aca="false">IF(L10=0,"",ROUND(F10/L10,1))</f>
        <v>1.3</v>
      </c>
    </row>
    <row r="11" customFormat="false" ht="15" hidden="false" customHeight="false" outlineLevel="0" collapsed="false">
      <c r="A11" s="33" t="s">
        <v>47</v>
      </c>
      <c r="B11" s="33" t="s">
        <v>48</v>
      </c>
      <c r="C11" s="33" t="s">
        <v>26</v>
      </c>
      <c r="D11" s="34" t="n">
        <v>1.4</v>
      </c>
      <c r="E11" s="34" t="n">
        <v>2.2</v>
      </c>
      <c r="F11" s="33" t="n">
        <v>45</v>
      </c>
      <c r="G11" s="33" t="n">
        <v>30</v>
      </c>
      <c r="H11" s="35" t="str">
        <f aca="false">IF(F11&lt;=G11,"REORDER","OK")</f>
        <v>OK</v>
      </c>
      <c r="I11" s="36" t="n">
        <f aca="false">F11*D11</f>
        <v>63</v>
      </c>
      <c r="J11" s="37" t="n">
        <f aca="false">IF(E11=0,0,(E11-D11)/E11)</f>
        <v>0.363636363636364</v>
      </c>
      <c r="K11" s="38" t="n">
        <f aca="false">SUMIFS(Data_Sales!$F$2:$F$1473,Data_Sales!$C$2:$C$1473,A11)</f>
        <v>1036</v>
      </c>
      <c r="L11" s="39" t="n">
        <f aca="false">K11/Summary!$B$5</f>
        <v>11.2608695652174</v>
      </c>
      <c r="M11" s="39" t="n">
        <f aca="false">IF(L11=0,"",ROUND(F11/L11,1))</f>
        <v>4</v>
      </c>
    </row>
    <row r="12" customFormat="false" ht="15" hidden="false" customHeight="false" outlineLevel="0" collapsed="false">
      <c r="A12" s="33" t="s">
        <v>43</v>
      </c>
      <c r="B12" s="33" t="s">
        <v>44</v>
      </c>
      <c r="C12" s="33" t="s">
        <v>26</v>
      </c>
      <c r="D12" s="34" t="n">
        <v>2.6</v>
      </c>
      <c r="E12" s="34" t="n">
        <v>3.8</v>
      </c>
      <c r="F12" s="33" t="n">
        <v>30</v>
      </c>
      <c r="G12" s="33" t="n">
        <v>21</v>
      </c>
      <c r="H12" s="35" t="str">
        <f aca="false">IF(F12&lt;=G12,"REORDER","OK")</f>
        <v>OK</v>
      </c>
      <c r="I12" s="36" t="n">
        <f aca="false">F12*D12</f>
        <v>78</v>
      </c>
      <c r="J12" s="37" t="n">
        <f aca="false">IF(E12=0,0,(E12-D12)/E12)</f>
        <v>0.31578947368421</v>
      </c>
      <c r="K12" s="38" t="n">
        <f aca="false">SUMIFS(Data_Sales!$F$2:$F$1473,Data_Sales!$C$2:$C$1473,A12)</f>
        <v>738</v>
      </c>
      <c r="L12" s="39" t="n">
        <f aca="false">K12/Summary!$B$5</f>
        <v>8.02173913043478</v>
      </c>
      <c r="M12" s="39" t="n">
        <f aca="false">IF(L12=0,"",ROUND(F12/L12,1))</f>
        <v>3.7</v>
      </c>
    </row>
    <row r="13" customFormat="false" ht="15" hidden="false" customHeight="false" outlineLevel="0" collapsed="false">
      <c r="A13" s="33" t="s">
        <v>67</v>
      </c>
      <c r="B13" s="33" t="s">
        <v>68</v>
      </c>
      <c r="C13" s="33" t="s">
        <v>26</v>
      </c>
      <c r="D13" s="34" t="n">
        <v>1.3</v>
      </c>
      <c r="E13" s="34" t="n">
        <v>1.9</v>
      </c>
      <c r="F13" s="33" t="n">
        <v>28</v>
      </c>
      <c r="G13" s="33" t="n">
        <v>18</v>
      </c>
      <c r="H13" s="35" t="str">
        <f aca="false">IF(F13&lt;=G13,"REORDER","OK")</f>
        <v>OK</v>
      </c>
      <c r="I13" s="36" t="n">
        <f aca="false">F13*D13</f>
        <v>36.4</v>
      </c>
      <c r="J13" s="37" t="n">
        <f aca="false">IF(E13=0,0,(E13-D13)/E13)</f>
        <v>0.31578947368421</v>
      </c>
      <c r="K13" s="38" t="n">
        <f aca="false">SUMIFS(Data_Sales!$F$2:$F$1473,Data_Sales!$C$2:$C$1473,A13)</f>
        <v>621</v>
      </c>
      <c r="L13" s="39" t="n">
        <f aca="false">K13/Summary!$B$5</f>
        <v>6.75</v>
      </c>
      <c r="M13" s="39" t="n">
        <f aca="false">IF(L13=0,"",ROUND(F13/L13,1))</f>
        <v>4.1</v>
      </c>
    </row>
    <row r="14" customFormat="false" ht="15" hidden="false" customHeight="false" outlineLevel="0" collapsed="false">
      <c r="A14" s="33" t="s">
        <v>61</v>
      </c>
      <c r="B14" s="33" t="s">
        <v>62</v>
      </c>
      <c r="C14" s="33" t="s">
        <v>29</v>
      </c>
      <c r="D14" s="34" t="n">
        <v>1.1</v>
      </c>
      <c r="E14" s="34" t="n">
        <v>1.9</v>
      </c>
      <c r="F14" s="33" t="n">
        <v>12</v>
      </c>
      <c r="G14" s="33" t="n">
        <v>27</v>
      </c>
      <c r="H14" s="35" t="str">
        <f aca="false">IF(F14&lt;=G14,"REORDER","OK")</f>
        <v>REORDER</v>
      </c>
      <c r="I14" s="36" t="n">
        <f aca="false">F14*D14</f>
        <v>13.2</v>
      </c>
      <c r="J14" s="37" t="n">
        <f aca="false">IF(E14=0,0,(E14-D14)/E14)</f>
        <v>0.421052631578947</v>
      </c>
      <c r="K14" s="38" t="n">
        <f aca="false">SUMIFS(Data_Sales!$F$2:$F$1473,Data_Sales!$C$2:$C$1473,A14)</f>
        <v>951</v>
      </c>
      <c r="L14" s="39" t="n">
        <f aca="false">K14/Summary!$B$5</f>
        <v>10.3369565217391</v>
      </c>
      <c r="M14" s="39" t="n">
        <f aca="false">IF(L14=0,"",ROUND(F14/L14,1))</f>
        <v>1.2</v>
      </c>
    </row>
    <row r="15" customFormat="false" ht="15" hidden="false" customHeight="false" outlineLevel="0" collapsed="false">
      <c r="A15" s="33" t="s">
        <v>45</v>
      </c>
      <c r="B15" s="33" t="s">
        <v>46</v>
      </c>
      <c r="C15" s="33" t="s">
        <v>29</v>
      </c>
      <c r="D15" s="34" t="n">
        <v>3.5</v>
      </c>
      <c r="E15" s="34" t="n">
        <v>5.2</v>
      </c>
      <c r="F15" s="33" t="n">
        <v>26</v>
      </c>
      <c r="G15" s="33" t="n">
        <v>15</v>
      </c>
      <c r="H15" s="35" t="str">
        <f aca="false">IF(F15&lt;=G15,"REORDER","OK")</f>
        <v>OK</v>
      </c>
      <c r="I15" s="36" t="n">
        <f aca="false">F15*D15</f>
        <v>91</v>
      </c>
      <c r="J15" s="37" t="n">
        <f aca="false">IF(E15=0,0,(E15-D15)/E15)</f>
        <v>0.326923076923077</v>
      </c>
      <c r="K15" s="38" t="n">
        <f aca="false">SUMIFS(Data_Sales!$F$2:$F$1473,Data_Sales!$C$2:$C$1473,A15)</f>
        <v>531</v>
      </c>
      <c r="L15" s="39" t="n">
        <f aca="false">K15/Summary!$B$5</f>
        <v>5.77173913043478</v>
      </c>
      <c r="M15" s="39" t="n">
        <f aca="false">IF(L15=0,"",ROUND(F15/L15,1))</f>
        <v>4.5</v>
      </c>
    </row>
    <row r="16" customFormat="false" ht="15" hidden="false" customHeight="false" outlineLevel="0" collapsed="false">
      <c r="A16" s="33" t="s">
        <v>65</v>
      </c>
      <c r="B16" s="33" t="s">
        <v>66</v>
      </c>
      <c r="C16" s="33" t="s">
        <v>29</v>
      </c>
      <c r="D16" s="34" t="n">
        <v>0.9</v>
      </c>
      <c r="E16" s="34" t="n">
        <v>1.5</v>
      </c>
      <c r="F16" s="33" t="n">
        <v>48</v>
      </c>
      <c r="G16" s="33" t="n">
        <v>24</v>
      </c>
      <c r="H16" s="35" t="str">
        <f aca="false">IF(F16&lt;=G16,"REORDER","OK")</f>
        <v>OK</v>
      </c>
      <c r="I16" s="36" t="n">
        <f aca="false">F16*D16</f>
        <v>43.2</v>
      </c>
      <c r="J16" s="37" t="n">
        <f aca="false">IF(E16=0,0,(E16-D16)/E16)</f>
        <v>0.4</v>
      </c>
      <c r="K16" s="38" t="n">
        <f aca="false">SUMIFS(Data_Sales!$F$2:$F$1473,Data_Sales!$C$2:$C$1473,A16)</f>
        <v>846</v>
      </c>
      <c r="L16" s="39" t="n">
        <f aca="false">K16/Summary!$B$5</f>
        <v>9.19565217391304</v>
      </c>
      <c r="M16" s="39" t="n">
        <f aca="false">IF(L16=0,"",ROUND(F16/L16,1))</f>
        <v>5.2</v>
      </c>
    </row>
    <row r="17" customFormat="false" ht="15" hidden="false" customHeight="false" outlineLevel="0" collapsed="false">
      <c r="A17" s="33" t="s">
        <v>55</v>
      </c>
      <c r="B17" s="33" t="s">
        <v>56</v>
      </c>
      <c r="C17" s="33" t="s">
        <v>29</v>
      </c>
      <c r="D17" s="34" t="n">
        <v>1.6</v>
      </c>
      <c r="E17" s="34" t="n">
        <v>2.5</v>
      </c>
      <c r="F17" s="33" t="n">
        <v>36</v>
      </c>
      <c r="G17" s="33" t="n">
        <v>21</v>
      </c>
      <c r="H17" s="35" t="str">
        <f aca="false">IF(F17&lt;=G17,"REORDER","OK")</f>
        <v>OK</v>
      </c>
      <c r="I17" s="36" t="n">
        <f aca="false">F17*D17</f>
        <v>57.6</v>
      </c>
      <c r="J17" s="37" t="n">
        <f aca="false">IF(E17=0,0,(E17-D17)/E17)</f>
        <v>0.36</v>
      </c>
      <c r="K17" s="38" t="n">
        <f aca="false">SUMIFS(Data_Sales!$F$2:$F$1473,Data_Sales!$C$2:$C$1473,A17)</f>
        <v>752</v>
      </c>
      <c r="L17" s="39" t="n">
        <f aca="false">K17/Summary!$B$5</f>
        <v>8.17391304347826</v>
      </c>
      <c r="M17" s="39" t="n">
        <f aca="false">IF(L17=0,"",ROUND(F17/L17,1))</f>
        <v>4.4</v>
      </c>
    </row>
    <row r="18" customFormat="false" ht="15" hidden="false" customHeight="false" outlineLevel="0" collapsed="false">
      <c r="A18" s="20" t="s">
        <v>17</v>
      </c>
      <c r="B18" s="20"/>
      <c r="C18" s="20"/>
      <c r="D18" s="20"/>
      <c r="E18" s="20"/>
      <c r="F18" s="20"/>
      <c r="G18" s="20"/>
      <c r="H18" s="20"/>
      <c r="I18" s="40" t="n">
        <f aca="false">SUM(I2:I17)</f>
        <v>875.15</v>
      </c>
      <c r="J18" s="20"/>
      <c r="K18" s="20"/>
      <c r="L18" s="20"/>
      <c r="M18" s="20"/>
    </row>
  </sheetData>
  <autoFilter ref="A1:M17"/>
  <conditionalFormatting sqref="A2:M17">
    <cfRule type="expression" priority="2" aboveAverage="0" equalAverage="0" bottom="0" percent="0" rank="0" text="" dxfId="6">
      <formula>$H2="REORDER"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4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8"/>
    <col collapsed="false" customWidth="true" hidden="false" outlineLevel="0" max="10" min="7" style="0" width="11"/>
    <col collapsed="false" customWidth="true" hidden="false" outlineLevel="0" max="11" min="11" style="0" width="12"/>
  </cols>
  <sheetData>
    <row r="1" customFormat="false" ht="23.85" hidden="false" customHeight="false" outlineLevel="0" collapsed="false">
      <c r="A1" s="13" t="s">
        <v>88</v>
      </c>
      <c r="B1" s="13" t="s">
        <v>14</v>
      </c>
      <c r="C1" s="13" t="s">
        <v>34</v>
      </c>
      <c r="D1" s="13" t="s">
        <v>35</v>
      </c>
      <c r="E1" s="13" t="s">
        <v>24</v>
      </c>
      <c r="F1" s="13" t="s">
        <v>89</v>
      </c>
      <c r="G1" s="13" t="s">
        <v>79</v>
      </c>
      <c r="H1" s="13" t="s">
        <v>15</v>
      </c>
      <c r="I1" s="13" t="s">
        <v>78</v>
      </c>
      <c r="J1" s="13" t="s">
        <v>16</v>
      </c>
      <c r="K1" s="13" t="s">
        <v>7</v>
      </c>
    </row>
    <row r="2" customFormat="false" ht="15" hidden="false" customHeight="false" outlineLevel="0" collapsed="false">
      <c r="A2" s="41" t="n">
        <v>46204</v>
      </c>
      <c r="B2" s="42" t="n">
        <f aca="false">DATE(YEAR(A2),MONTH(A2),1)</f>
        <v>46204</v>
      </c>
      <c r="C2" s="3" t="s">
        <v>39</v>
      </c>
      <c r="D2" s="3" t="s">
        <v>40</v>
      </c>
      <c r="E2" s="3" t="s">
        <v>27</v>
      </c>
      <c r="F2" s="3" t="n">
        <v>25</v>
      </c>
      <c r="G2" s="36" t="n">
        <v>1</v>
      </c>
      <c r="H2" s="36" t="n">
        <f aca="false">F2*G2</f>
        <v>25</v>
      </c>
      <c r="I2" s="36" t="n">
        <f aca="false">INDEX(Inventory!$D$2:$D$17,MATCH(C2,Inventory!$A$2:$A$17,0))</f>
        <v>0.6</v>
      </c>
      <c r="J2" s="36" t="n">
        <f aca="false">F2*I2</f>
        <v>15</v>
      </c>
      <c r="K2" s="36" t="n">
        <f aca="false">H2-J2</f>
        <v>10</v>
      </c>
    </row>
    <row r="3" customFormat="false" ht="15" hidden="false" customHeight="false" outlineLevel="0" collapsed="false">
      <c r="A3" s="41" t="n">
        <v>46204</v>
      </c>
      <c r="B3" s="42" t="n">
        <f aca="false">DATE(YEAR(A3),MONTH(A3),1)</f>
        <v>46204</v>
      </c>
      <c r="C3" s="3" t="s">
        <v>53</v>
      </c>
      <c r="D3" s="3" t="s">
        <v>54</v>
      </c>
      <c r="E3" s="3" t="s">
        <v>27</v>
      </c>
      <c r="F3" s="3" t="n">
        <v>17</v>
      </c>
      <c r="G3" s="36" t="n">
        <v>0.95</v>
      </c>
      <c r="H3" s="36" t="n">
        <f aca="false">F3*G3</f>
        <v>16.15</v>
      </c>
      <c r="I3" s="36" t="n">
        <f aca="false">INDEX(Inventory!$D$2:$D$17,MATCH(C3,Inventory!$A$2:$A$17,0))</f>
        <v>0.55</v>
      </c>
      <c r="J3" s="36" t="n">
        <f aca="false">F3*I3</f>
        <v>9.35</v>
      </c>
      <c r="K3" s="36" t="n">
        <f aca="false">H3-J3</f>
        <v>6.8</v>
      </c>
    </row>
    <row r="4" customFormat="false" ht="15" hidden="false" customHeight="false" outlineLevel="0" collapsed="false">
      <c r="A4" s="41" t="n">
        <v>46204</v>
      </c>
      <c r="B4" s="42" t="n">
        <f aca="false">DATE(YEAR(A4),MONTH(A4),1)</f>
        <v>46204</v>
      </c>
      <c r="C4" s="3" t="s">
        <v>59</v>
      </c>
      <c r="D4" s="3" t="s">
        <v>60</v>
      </c>
      <c r="E4" s="3" t="s">
        <v>27</v>
      </c>
      <c r="F4" s="3" t="n">
        <v>29</v>
      </c>
      <c r="G4" s="36" t="n">
        <v>0.6</v>
      </c>
      <c r="H4" s="36" t="n">
        <f aca="false">F4*G4</f>
        <v>17.4</v>
      </c>
      <c r="I4" s="36" t="n">
        <f aca="false">INDEX(Inventory!$D$2:$D$17,MATCH(C4,Inventory!$A$2:$A$17,0))</f>
        <v>0.3</v>
      </c>
      <c r="J4" s="36" t="n">
        <f aca="false">F4*I4</f>
        <v>8.7</v>
      </c>
      <c r="K4" s="36" t="n">
        <f aca="false">H4-J4</f>
        <v>8.7</v>
      </c>
    </row>
    <row r="5" customFormat="false" ht="15" hidden="false" customHeight="false" outlineLevel="0" collapsed="false">
      <c r="A5" s="41" t="n">
        <v>46204</v>
      </c>
      <c r="B5" s="42" t="n">
        <f aca="false">DATE(YEAR(A5),MONTH(A5),1)</f>
        <v>46204</v>
      </c>
      <c r="C5" s="3" t="s">
        <v>57</v>
      </c>
      <c r="D5" s="3" t="s">
        <v>58</v>
      </c>
      <c r="E5" s="3" t="s">
        <v>27</v>
      </c>
      <c r="F5" s="3" t="n">
        <v>14</v>
      </c>
      <c r="G5" s="36" t="n">
        <v>1.5</v>
      </c>
      <c r="H5" s="36" t="n">
        <f aca="false">F5*G5</f>
        <v>21</v>
      </c>
      <c r="I5" s="36" t="n">
        <f aca="false">INDEX(Inventory!$D$2:$D$17,MATCH(C5,Inventory!$A$2:$A$17,0))</f>
        <v>0.9</v>
      </c>
      <c r="J5" s="36" t="n">
        <f aca="false">F5*I5</f>
        <v>12.6</v>
      </c>
      <c r="K5" s="36" t="n">
        <f aca="false">H5-J5</f>
        <v>8.4</v>
      </c>
    </row>
    <row r="6" customFormat="false" ht="15" hidden="false" customHeight="false" outlineLevel="0" collapsed="false">
      <c r="A6" s="41" t="n">
        <v>46204</v>
      </c>
      <c r="B6" s="42" t="n">
        <f aca="false">DATE(YEAR(A6),MONTH(A6),1)</f>
        <v>46204</v>
      </c>
      <c r="C6" s="3" t="s">
        <v>41</v>
      </c>
      <c r="D6" s="3" t="s">
        <v>42</v>
      </c>
      <c r="E6" s="3" t="s">
        <v>28</v>
      </c>
      <c r="F6" s="3" t="n">
        <v>19</v>
      </c>
      <c r="G6" s="36" t="n">
        <v>1.3</v>
      </c>
      <c r="H6" s="36" t="n">
        <f aca="false">F6*G6</f>
        <v>24.7</v>
      </c>
      <c r="I6" s="36" t="n">
        <f aca="false">INDEX(Inventory!$D$2:$D$17,MATCH(C6,Inventory!$A$2:$A$17,0))</f>
        <v>0.8</v>
      </c>
      <c r="J6" s="36" t="n">
        <f aca="false">F6*I6</f>
        <v>15.2</v>
      </c>
      <c r="K6" s="36" t="n">
        <f aca="false">H6-J6</f>
        <v>9.5</v>
      </c>
    </row>
    <row r="7" customFormat="false" ht="15" hidden="false" customHeight="false" outlineLevel="0" collapsed="false">
      <c r="A7" s="41" t="n">
        <v>46204</v>
      </c>
      <c r="B7" s="42" t="n">
        <f aca="false">DATE(YEAR(A7),MONTH(A7),1)</f>
        <v>46204</v>
      </c>
      <c r="C7" s="3" t="s">
        <v>63</v>
      </c>
      <c r="D7" s="3" t="s">
        <v>64</v>
      </c>
      <c r="E7" s="3" t="s">
        <v>28</v>
      </c>
      <c r="F7" s="3" t="n">
        <v>9</v>
      </c>
      <c r="G7" s="36" t="n">
        <v>0.9</v>
      </c>
      <c r="H7" s="36" t="n">
        <f aca="false">F7*G7</f>
        <v>8.1</v>
      </c>
      <c r="I7" s="36" t="n">
        <f aca="false">INDEX(Inventory!$D$2:$D$17,MATCH(C7,Inventory!$A$2:$A$17,0))</f>
        <v>0.5</v>
      </c>
      <c r="J7" s="36" t="n">
        <f aca="false">F7*I7</f>
        <v>4.5</v>
      </c>
      <c r="K7" s="36" t="n">
        <f aca="false">H7-J7</f>
        <v>3.6</v>
      </c>
    </row>
    <row r="8" customFormat="false" ht="15" hidden="false" customHeight="false" outlineLevel="0" collapsed="false">
      <c r="A8" s="41" t="n">
        <v>46204</v>
      </c>
      <c r="B8" s="42" t="n">
        <f aca="false">DATE(YEAR(A8),MONTH(A8),1)</f>
        <v>46204</v>
      </c>
      <c r="C8" s="3" t="s">
        <v>49</v>
      </c>
      <c r="D8" s="3" t="s">
        <v>50</v>
      </c>
      <c r="E8" s="3" t="s">
        <v>28</v>
      </c>
      <c r="F8" s="3" t="n">
        <v>17</v>
      </c>
      <c r="G8" s="36" t="n">
        <v>1.2</v>
      </c>
      <c r="H8" s="36" t="n">
        <f aca="false">F8*G8</f>
        <v>20.4</v>
      </c>
      <c r="I8" s="36" t="n">
        <f aca="false">INDEX(Inventory!$D$2:$D$17,MATCH(C8,Inventory!$A$2:$A$17,0))</f>
        <v>0.7</v>
      </c>
      <c r="J8" s="36" t="n">
        <f aca="false">F8*I8</f>
        <v>11.9</v>
      </c>
      <c r="K8" s="36" t="n">
        <f aca="false">H8-J8</f>
        <v>8.5</v>
      </c>
    </row>
    <row r="9" customFormat="false" ht="15" hidden="false" customHeight="false" outlineLevel="0" collapsed="false">
      <c r="A9" s="41" t="n">
        <v>46204</v>
      </c>
      <c r="B9" s="42" t="n">
        <f aca="false">DATE(YEAR(A9),MONTH(A9),1)</f>
        <v>46204</v>
      </c>
      <c r="C9" s="3" t="s">
        <v>51</v>
      </c>
      <c r="D9" s="3" t="s">
        <v>52</v>
      </c>
      <c r="E9" s="3" t="s">
        <v>28</v>
      </c>
      <c r="F9" s="3" t="n">
        <v>21</v>
      </c>
      <c r="G9" s="36" t="n">
        <v>0.85</v>
      </c>
      <c r="H9" s="36" t="n">
        <f aca="false">F9*G9</f>
        <v>17.85</v>
      </c>
      <c r="I9" s="36" t="n">
        <f aca="false">INDEX(Inventory!$D$2:$D$17,MATCH(C9,Inventory!$A$2:$A$17,0))</f>
        <v>0.45</v>
      </c>
      <c r="J9" s="36" t="n">
        <f aca="false">F9*I9</f>
        <v>9.45</v>
      </c>
      <c r="K9" s="36" t="n">
        <f aca="false">H9-J9</f>
        <v>8.4</v>
      </c>
    </row>
    <row r="10" customFormat="false" ht="15" hidden="false" customHeight="false" outlineLevel="0" collapsed="false">
      <c r="A10" s="41" t="n">
        <v>46204</v>
      </c>
      <c r="B10" s="42" t="n">
        <f aca="false">DATE(YEAR(A10),MONTH(A10),1)</f>
        <v>46204</v>
      </c>
      <c r="C10" s="3" t="s">
        <v>37</v>
      </c>
      <c r="D10" s="3" t="s">
        <v>38</v>
      </c>
      <c r="E10" s="3" t="s">
        <v>26</v>
      </c>
      <c r="F10" s="3" t="n">
        <v>23</v>
      </c>
      <c r="G10" s="36" t="n">
        <v>1.2</v>
      </c>
      <c r="H10" s="36" t="n">
        <f aca="false">F10*G10</f>
        <v>27.6</v>
      </c>
      <c r="I10" s="36" t="n">
        <f aca="false">INDEX(Inventory!$D$2:$D$17,MATCH(C10,Inventory!$A$2:$A$17,0))</f>
        <v>0.85</v>
      </c>
      <c r="J10" s="36" t="n">
        <f aca="false">F10*I10</f>
        <v>19.55</v>
      </c>
      <c r="K10" s="36" t="n">
        <f aca="false">H10-J10</f>
        <v>8.05</v>
      </c>
    </row>
    <row r="11" customFormat="false" ht="15" hidden="false" customHeight="false" outlineLevel="0" collapsed="false">
      <c r="A11" s="41" t="n">
        <v>46204</v>
      </c>
      <c r="B11" s="42" t="n">
        <f aca="false">DATE(YEAR(A11),MONTH(A11),1)</f>
        <v>46204</v>
      </c>
      <c r="C11" s="3" t="s">
        <v>47</v>
      </c>
      <c r="D11" s="3" t="s">
        <v>48</v>
      </c>
      <c r="E11" s="3" t="s">
        <v>26</v>
      </c>
      <c r="F11" s="3" t="n">
        <v>10</v>
      </c>
      <c r="G11" s="36" t="n">
        <v>2.2</v>
      </c>
      <c r="H11" s="36" t="n">
        <f aca="false">F11*G11</f>
        <v>22</v>
      </c>
      <c r="I11" s="36" t="n">
        <f aca="false">INDEX(Inventory!$D$2:$D$17,MATCH(C11,Inventory!$A$2:$A$17,0))</f>
        <v>1.4</v>
      </c>
      <c r="J11" s="36" t="n">
        <f aca="false">F11*I11</f>
        <v>14</v>
      </c>
      <c r="K11" s="36" t="n">
        <f aca="false">H11-J11</f>
        <v>8</v>
      </c>
    </row>
    <row r="12" customFormat="false" ht="15" hidden="false" customHeight="false" outlineLevel="0" collapsed="false">
      <c r="A12" s="41" t="n">
        <v>46204</v>
      </c>
      <c r="B12" s="42" t="n">
        <f aca="false">DATE(YEAR(A12),MONTH(A12),1)</f>
        <v>46204</v>
      </c>
      <c r="C12" s="3" t="s">
        <v>43</v>
      </c>
      <c r="D12" s="3" t="s">
        <v>44</v>
      </c>
      <c r="E12" s="3" t="s">
        <v>26</v>
      </c>
      <c r="F12" s="3" t="n">
        <v>7</v>
      </c>
      <c r="G12" s="36" t="n">
        <v>3.8</v>
      </c>
      <c r="H12" s="36" t="n">
        <f aca="false">F12*G12</f>
        <v>26.6</v>
      </c>
      <c r="I12" s="36" t="n">
        <f aca="false">INDEX(Inventory!$D$2:$D$17,MATCH(C12,Inventory!$A$2:$A$17,0))</f>
        <v>2.6</v>
      </c>
      <c r="J12" s="36" t="n">
        <f aca="false">F12*I12</f>
        <v>18.2</v>
      </c>
      <c r="K12" s="36" t="n">
        <f aca="false">H12-J12</f>
        <v>8.4</v>
      </c>
    </row>
    <row r="13" customFormat="false" ht="15" hidden="false" customHeight="false" outlineLevel="0" collapsed="false">
      <c r="A13" s="41" t="n">
        <v>46204</v>
      </c>
      <c r="B13" s="42" t="n">
        <f aca="false">DATE(YEAR(A13),MONTH(A13),1)</f>
        <v>46204</v>
      </c>
      <c r="C13" s="3" t="s">
        <v>67</v>
      </c>
      <c r="D13" s="3" t="s">
        <v>68</v>
      </c>
      <c r="E13" s="3" t="s">
        <v>26</v>
      </c>
      <c r="F13" s="3" t="n">
        <v>8</v>
      </c>
      <c r="G13" s="36" t="n">
        <v>1.9</v>
      </c>
      <c r="H13" s="36" t="n">
        <f aca="false">F13*G13</f>
        <v>15.2</v>
      </c>
      <c r="I13" s="36" t="n">
        <f aca="false">INDEX(Inventory!$D$2:$D$17,MATCH(C13,Inventory!$A$2:$A$17,0))</f>
        <v>1.3</v>
      </c>
      <c r="J13" s="36" t="n">
        <f aca="false">F13*I13</f>
        <v>10.4</v>
      </c>
      <c r="K13" s="36" t="n">
        <f aca="false">H13-J13</f>
        <v>4.8</v>
      </c>
    </row>
    <row r="14" customFormat="false" ht="15" hidden="false" customHeight="false" outlineLevel="0" collapsed="false">
      <c r="A14" s="41" t="n">
        <v>46204</v>
      </c>
      <c r="B14" s="42" t="n">
        <f aca="false">DATE(YEAR(A14),MONTH(A14),1)</f>
        <v>46204</v>
      </c>
      <c r="C14" s="3" t="s">
        <v>61</v>
      </c>
      <c r="D14" s="3" t="s">
        <v>62</v>
      </c>
      <c r="E14" s="3" t="s">
        <v>29</v>
      </c>
      <c r="F14" s="3" t="n">
        <v>10</v>
      </c>
      <c r="G14" s="36" t="n">
        <v>1.9</v>
      </c>
      <c r="H14" s="36" t="n">
        <f aca="false">F14*G14</f>
        <v>19</v>
      </c>
      <c r="I14" s="36" t="n">
        <f aca="false">INDEX(Inventory!$D$2:$D$17,MATCH(C14,Inventory!$A$2:$A$17,0))</f>
        <v>1.1</v>
      </c>
      <c r="J14" s="36" t="n">
        <f aca="false">F14*I14</f>
        <v>11</v>
      </c>
      <c r="K14" s="36" t="n">
        <f aca="false">H14-J14</f>
        <v>8</v>
      </c>
    </row>
    <row r="15" customFormat="false" ht="15" hidden="false" customHeight="false" outlineLevel="0" collapsed="false">
      <c r="A15" s="41" t="n">
        <v>46204</v>
      </c>
      <c r="B15" s="42" t="n">
        <f aca="false">DATE(YEAR(A15),MONTH(A15),1)</f>
        <v>46204</v>
      </c>
      <c r="C15" s="3" t="s">
        <v>45</v>
      </c>
      <c r="D15" s="3" t="s">
        <v>46</v>
      </c>
      <c r="E15" s="3" t="s">
        <v>29</v>
      </c>
      <c r="F15" s="3" t="n">
        <v>5</v>
      </c>
      <c r="G15" s="36" t="n">
        <v>5.2</v>
      </c>
      <c r="H15" s="36" t="n">
        <f aca="false">F15*G15</f>
        <v>26</v>
      </c>
      <c r="I15" s="36" t="n">
        <f aca="false">INDEX(Inventory!$D$2:$D$17,MATCH(C15,Inventory!$A$2:$A$17,0))</f>
        <v>3.5</v>
      </c>
      <c r="J15" s="36" t="n">
        <f aca="false">F15*I15</f>
        <v>17.5</v>
      </c>
      <c r="K15" s="36" t="n">
        <f aca="false">H15-J15</f>
        <v>8.5</v>
      </c>
    </row>
    <row r="16" customFormat="false" ht="15" hidden="false" customHeight="false" outlineLevel="0" collapsed="false">
      <c r="A16" s="41" t="n">
        <v>46204</v>
      </c>
      <c r="B16" s="42" t="n">
        <f aca="false">DATE(YEAR(A16),MONTH(A16),1)</f>
        <v>46204</v>
      </c>
      <c r="C16" s="3" t="s">
        <v>65</v>
      </c>
      <c r="D16" s="3" t="s">
        <v>66</v>
      </c>
      <c r="E16" s="3" t="s">
        <v>29</v>
      </c>
      <c r="F16" s="3" t="n">
        <v>7</v>
      </c>
      <c r="G16" s="36" t="n">
        <v>1.5</v>
      </c>
      <c r="H16" s="36" t="n">
        <f aca="false">F16*G16</f>
        <v>10.5</v>
      </c>
      <c r="I16" s="36" t="n">
        <f aca="false">INDEX(Inventory!$D$2:$D$17,MATCH(C16,Inventory!$A$2:$A$17,0))</f>
        <v>0.9</v>
      </c>
      <c r="J16" s="36" t="n">
        <f aca="false">F16*I16</f>
        <v>6.3</v>
      </c>
      <c r="K16" s="36" t="n">
        <f aca="false">H16-J16</f>
        <v>4.2</v>
      </c>
    </row>
    <row r="17" customFormat="false" ht="15" hidden="false" customHeight="false" outlineLevel="0" collapsed="false">
      <c r="A17" s="41" t="n">
        <v>46204</v>
      </c>
      <c r="B17" s="42" t="n">
        <f aca="false">DATE(YEAR(A17),MONTH(A17),1)</f>
        <v>46204</v>
      </c>
      <c r="C17" s="3" t="s">
        <v>55</v>
      </c>
      <c r="D17" s="3" t="s">
        <v>56</v>
      </c>
      <c r="E17" s="3" t="s">
        <v>29</v>
      </c>
      <c r="F17" s="3" t="n">
        <v>5</v>
      </c>
      <c r="G17" s="36" t="n">
        <v>2.5</v>
      </c>
      <c r="H17" s="36" t="n">
        <f aca="false">F17*G17</f>
        <v>12.5</v>
      </c>
      <c r="I17" s="36" t="n">
        <f aca="false">INDEX(Inventory!$D$2:$D$17,MATCH(C17,Inventory!$A$2:$A$17,0))</f>
        <v>1.6</v>
      </c>
      <c r="J17" s="36" t="n">
        <f aca="false">F17*I17</f>
        <v>8</v>
      </c>
      <c r="K17" s="36" t="n">
        <f aca="false">H17-J17</f>
        <v>4.5</v>
      </c>
    </row>
    <row r="18" customFormat="false" ht="15" hidden="false" customHeight="false" outlineLevel="0" collapsed="false">
      <c r="A18" s="41" t="n">
        <v>46205</v>
      </c>
      <c r="B18" s="42" t="n">
        <f aca="false">DATE(YEAR(A18),MONTH(A18),1)</f>
        <v>46204</v>
      </c>
      <c r="C18" s="3" t="s">
        <v>39</v>
      </c>
      <c r="D18" s="3" t="s">
        <v>40</v>
      </c>
      <c r="E18" s="3" t="s">
        <v>27</v>
      </c>
      <c r="F18" s="3" t="n">
        <v>28</v>
      </c>
      <c r="G18" s="36" t="n">
        <v>1</v>
      </c>
      <c r="H18" s="36" t="n">
        <f aca="false">F18*G18</f>
        <v>28</v>
      </c>
      <c r="I18" s="36" t="n">
        <f aca="false">INDEX(Inventory!$D$2:$D$17,MATCH(C18,Inventory!$A$2:$A$17,0))</f>
        <v>0.6</v>
      </c>
      <c r="J18" s="36" t="n">
        <f aca="false">F18*I18</f>
        <v>16.8</v>
      </c>
      <c r="K18" s="36" t="n">
        <f aca="false">H18-J18</f>
        <v>11.2</v>
      </c>
    </row>
    <row r="19" customFormat="false" ht="15" hidden="false" customHeight="false" outlineLevel="0" collapsed="false">
      <c r="A19" s="41" t="n">
        <v>46205</v>
      </c>
      <c r="B19" s="42" t="n">
        <f aca="false">DATE(YEAR(A19),MONTH(A19),1)</f>
        <v>46204</v>
      </c>
      <c r="C19" s="3" t="s">
        <v>53</v>
      </c>
      <c r="D19" s="3" t="s">
        <v>54</v>
      </c>
      <c r="E19" s="3" t="s">
        <v>27</v>
      </c>
      <c r="F19" s="3" t="n">
        <v>24</v>
      </c>
      <c r="G19" s="36" t="n">
        <v>0.95</v>
      </c>
      <c r="H19" s="36" t="n">
        <f aca="false">F19*G19</f>
        <v>22.8</v>
      </c>
      <c r="I19" s="36" t="n">
        <f aca="false">INDEX(Inventory!$D$2:$D$17,MATCH(C19,Inventory!$A$2:$A$17,0))</f>
        <v>0.55</v>
      </c>
      <c r="J19" s="36" t="n">
        <f aca="false">F19*I19</f>
        <v>13.2</v>
      </c>
      <c r="K19" s="36" t="n">
        <f aca="false">H19-J19</f>
        <v>9.6</v>
      </c>
    </row>
    <row r="20" customFormat="false" ht="15" hidden="false" customHeight="false" outlineLevel="0" collapsed="false">
      <c r="A20" s="41" t="n">
        <v>46205</v>
      </c>
      <c r="B20" s="42" t="n">
        <f aca="false">DATE(YEAR(A20),MONTH(A20),1)</f>
        <v>46204</v>
      </c>
      <c r="C20" s="3" t="s">
        <v>59</v>
      </c>
      <c r="D20" s="3" t="s">
        <v>60</v>
      </c>
      <c r="E20" s="3" t="s">
        <v>27</v>
      </c>
      <c r="F20" s="3" t="n">
        <v>30</v>
      </c>
      <c r="G20" s="36" t="n">
        <v>0.6</v>
      </c>
      <c r="H20" s="36" t="n">
        <f aca="false">F20*G20</f>
        <v>18</v>
      </c>
      <c r="I20" s="36" t="n">
        <f aca="false">INDEX(Inventory!$D$2:$D$17,MATCH(C20,Inventory!$A$2:$A$17,0))</f>
        <v>0.3</v>
      </c>
      <c r="J20" s="36" t="n">
        <f aca="false">F20*I20</f>
        <v>9</v>
      </c>
      <c r="K20" s="36" t="n">
        <f aca="false">H20-J20</f>
        <v>9</v>
      </c>
    </row>
    <row r="21" customFormat="false" ht="15" hidden="false" customHeight="false" outlineLevel="0" collapsed="false">
      <c r="A21" s="41" t="n">
        <v>46205</v>
      </c>
      <c r="B21" s="42" t="n">
        <f aca="false">DATE(YEAR(A21),MONTH(A21),1)</f>
        <v>46204</v>
      </c>
      <c r="C21" s="3" t="s">
        <v>57</v>
      </c>
      <c r="D21" s="3" t="s">
        <v>58</v>
      </c>
      <c r="E21" s="3" t="s">
        <v>27</v>
      </c>
      <c r="F21" s="3" t="n">
        <v>12</v>
      </c>
      <c r="G21" s="36" t="n">
        <v>1.5</v>
      </c>
      <c r="H21" s="36" t="n">
        <f aca="false">F21*G21</f>
        <v>18</v>
      </c>
      <c r="I21" s="36" t="n">
        <f aca="false">INDEX(Inventory!$D$2:$D$17,MATCH(C21,Inventory!$A$2:$A$17,0))</f>
        <v>0.9</v>
      </c>
      <c r="J21" s="36" t="n">
        <f aca="false">F21*I21</f>
        <v>10.8</v>
      </c>
      <c r="K21" s="36" t="n">
        <f aca="false">H21-J21</f>
        <v>7.2</v>
      </c>
    </row>
    <row r="22" customFormat="false" ht="15" hidden="false" customHeight="false" outlineLevel="0" collapsed="false">
      <c r="A22" s="41" t="n">
        <v>46205</v>
      </c>
      <c r="B22" s="42" t="n">
        <f aca="false">DATE(YEAR(A22),MONTH(A22),1)</f>
        <v>46204</v>
      </c>
      <c r="C22" s="3" t="s">
        <v>41</v>
      </c>
      <c r="D22" s="3" t="s">
        <v>42</v>
      </c>
      <c r="E22" s="3" t="s">
        <v>28</v>
      </c>
      <c r="F22" s="3" t="n">
        <v>23</v>
      </c>
      <c r="G22" s="36" t="n">
        <v>1.3</v>
      </c>
      <c r="H22" s="36" t="n">
        <f aca="false">F22*G22</f>
        <v>29.9</v>
      </c>
      <c r="I22" s="36" t="n">
        <f aca="false">INDEX(Inventory!$D$2:$D$17,MATCH(C22,Inventory!$A$2:$A$17,0))</f>
        <v>0.8</v>
      </c>
      <c r="J22" s="36" t="n">
        <f aca="false">F22*I22</f>
        <v>18.4</v>
      </c>
      <c r="K22" s="36" t="n">
        <f aca="false">H22-J22</f>
        <v>11.5</v>
      </c>
    </row>
    <row r="23" customFormat="false" ht="15" hidden="false" customHeight="false" outlineLevel="0" collapsed="false">
      <c r="A23" s="41" t="n">
        <v>46205</v>
      </c>
      <c r="B23" s="42" t="n">
        <f aca="false">DATE(YEAR(A23),MONTH(A23),1)</f>
        <v>46204</v>
      </c>
      <c r="C23" s="3" t="s">
        <v>63</v>
      </c>
      <c r="D23" s="3" t="s">
        <v>64</v>
      </c>
      <c r="E23" s="3" t="s">
        <v>28</v>
      </c>
      <c r="F23" s="3" t="n">
        <v>9</v>
      </c>
      <c r="G23" s="36" t="n">
        <v>0.9</v>
      </c>
      <c r="H23" s="36" t="n">
        <f aca="false">F23*G23</f>
        <v>8.1</v>
      </c>
      <c r="I23" s="36" t="n">
        <f aca="false">INDEX(Inventory!$D$2:$D$17,MATCH(C23,Inventory!$A$2:$A$17,0))</f>
        <v>0.5</v>
      </c>
      <c r="J23" s="36" t="n">
        <f aca="false">F23*I23</f>
        <v>4.5</v>
      </c>
      <c r="K23" s="36" t="n">
        <f aca="false">H23-J23</f>
        <v>3.6</v>
      </c>
    </row>
    <row r="24" customFormat="false" ht="15" hidden="false" customHeight="false" outlineLevel="0" collapsed="false">
      <c r="A24" s="41" t="n">
        <v>46205</v>
      </c>
      <c r="B24" s="42" t="n">
        <f aca="false">DATE(YEAR(A24),MONTH(A24),1)</f>
        <v>46204</v>
      </c>
      <c r="C24" s="3" t="s">
        <v>49</v>
      </c>
      <c r="D24" s="3" t="s">
        <v>50</v>
      </c>
      <c r="E24" s="3" t="s">
        <v>28</v>
      </c>
      <c r="F24" s="3" t="n">
        <v>15</v>
      </c>
      <c r="G24" s="36" t="n">
        <v>1.2</v>
      </c>
      <c r="H24" s="36" t="n">
        <f aca="false">F24*G24</f>
        <v>18</v>
      </c>
      <c r="I24" s="36" t="n">
        <f aca="false">INDEX(Inventory!$D$2:$D$17,MATCH(C24,Inventory!$A$2:$A$17,0))</f>
        <v>0.7</v>
      </c>
      <c r="J24" s="36" t="n">
        <f aca="false">F24*I24</f>
        <v>10.5</v>
      </c>
      <c r="K24" s="36" t="n">
        <f aca="false">H24-J24</f>
        <v>7.5</v>
      </c>
    </row>
    <row r="25" customFormat="false" ht="15" hidden="false" customHeight="false" outlineLevel="0" collapsed="false">
      <c r="A25" s="41" t="n">
        <v>46205</v>
      </c>
      <c r="B25" s="42" t="n">
        <f aca="false">DATE(YEAR(A25),MONTH(A25),1)</f>
        <v>46204</v>
      </c>
      <c r="C25" s="3" t="s">
        <v>51</v>
      </c>
      <c r="D25" s="3" t="s">
        <v>52</v>
      </c>
      <c r="E25" s="3" t="s">
        <v>28</v>
      </c>
      <c r="F25" s="3" t="n">
        <v>25</v>
      </c>
      <c r="G25" s="36" t="n">
        <v>0.85</v>
      </c>
      <c r="H25" s="36" t="n">
        <f aca="false">F25*G25</f>
        <v>21.25</v>
      </c>
      <c r="I25" s="36" t="n">
        <f aca="false">INDEX(Inventory!$D$2:$D$17,MATCH(C25,Inventory!$A$2:$A$17,0))</f>
        <v>0.45</v>
      </c>
      <c r="J25" s="36" t="n">
        <f aca="false">F25*I25</f>
        <v>11.25</v>
      </c>
      <c r="K25" s="36" t="n">
        <f aca="false">H25-J25</f>
        <v>10</v>
      </c>
    </row>
    <row r="26" customFormat="false" ht="15" hidden="false" customHeight="false" outlineLevel="0" collapsed="false">
      <c r="A26" s="41" t="n">
        <v>46205</v>
      </c>
      <c r="B26" s="42" t="n">
        <f aca="false">DATE(YEAR(A26),MONTH(A26),1)</f>
        <v>46204</v>
      </c>
      <c r="C26" s="3" t="s">
        <v>37</v>
      </c>
      <c r="D26" s="3" t="s">
        <v>38</v>
      </c>
      <c r="E26" s="3" t="s">
        <v>26</v>
      </c>
      <c r="F26" s="3" t="n">
        <v>29</v>
      </c>
      <c r="G26" s="36" t="n">
        <v>1.2</v>
      </c>
      <c r="H26" s="36" t="n">
        <f aca="false">F26*G26</f>
        <v>34.8</v>
      </c>
      <c r="I26" s="36" t="n">
        <f aca="false">INDEX(Inventory!$D$2:$D$17,MATCH(C26,Inventory!$A$2:$A$17,0))</f>
        <v>0.85</v>
      </c>
      <c r="J26" s="36" t="n">
        <f aca="false">F26*I26</f>
        <v>24.65</v>
      </c>
      <c r="K26" s="36" t="n">
        <f aca="false">H26-J26</f>
        <v>10.15</v>
      </c>
    </row>
    <row r="27" customFormat="false" ht="15" hidden="false" customHeight="false" outlineLevel="0" collapsed="false">
      <c r="A27" s="41" t="n">
        <v>46205</v>
      </c>
      <c r="B27" s="42" t="n">
        <f aca="false">DATE(YEAR(A27),MONTH(A27),1)</f>
        <v>46204</v>
      </c>
      <c r="C27" s="3" t="s">
        <v>47</v>
      </c>
      <c r="D27" s="3" t="s">
        <v>48</v>
      </c>
      <c r="E27" s="3" t="s">
        <v>26</v>
      </c>
      <c r="F27" s="3" t="n">
        <v>9</v>
      </c>
      <c r="G27" s="36" t="n">
        <v>2.2</v>
      </c>
      <c r="H27" s="36" t="n">
        <f aca="false">F27*G27</f>
        <v>19.8</v>
      </c>
      <c r="I27" s="36" t="n">
        <f aca="false">INDEX(Inventory!$D$2:$D$17,MATCH(C27,Inventory!$A$2:$A$17,0))</f>
        <v>1.4</v>
      </c>
      <c r="J27" s="36" t="n">
        <f aca="false">F27*I27</f>
        <v>12.6</v>
      </c>
      <c r="K27" s="36" t="n">
        <f aca="false">H27-J27</f>
        <v>7.2</v>
      </c>
    </row>
    <row r="28" customFormat="false" ht="15" hidden="false" customHeight="false" outlineLevel="0" collapsed="false">
      <c r="A28" s="41" t="n">
        <v>46205</v>
      </c>
      <c r="B28" s="42" t="n">
        <f aca="false">DATE(YEAR(A28),MONTH(A28),1)</f>
        <v>46204</v>
      </c>
      <c r="C28" s="3" t="s">
        <v>43</v>
      </c>
      <c r="D28" s="3" t="s">
        <v>44</v>
      </c>
      <c r="E28" s="3" t="s">
        <v>26</v>
      </c>
      <c r="F28" s="3" t="n">
        <v>8</v>
      </c>
      <c r="G28" s="36" t="n">
        <v>3.8</v>
      </c>
      <c r="H28" s="36" t="n">
        <f aca="false">F28*G28</f>
        <v>30.4</v>
      </c>
      <c r="I28" s="36" t="n">
        <f aca="false">INDEX(Inventory!$D$2:$D$17,MATCH(C28,Inventory!$A$2:$A$17,0))</f>
        <v>2.6</v>
      </c>
      <c r="J28" s="36" t="n">
        <f aca="false">F28*I28</f>
        <v>20.8</v>
      </c>
      <c r="K28" s="36" t="n">
        <f aca="false">H28-J28</f>
        <v>9.6</v>
      </c>
    </row>
    <row r="29" customFormat="false" ht="15" hidden="false" customHeight="false" outlineLevel="0" collapsed="false">
      <c r="A29" s="41" t="n">
        <v>46205</v>
      </c>
      <c r="B29" s="42" t="n">
        <f aca="false">DATE(YEAR(A29),MONTH(A29),1)</f>
        <v>46204</v>
      </c>
      <c r="C29" s="3" t="s">
        <v>67</v>
      </c>
      <c r="D29" s="3" t="s">
        <v>68</v>
      </c>
      <c r="E29" s="3" t="s">
        <v>26</v>
      </c>
      <c r="F29" s="3" t="n">
        <v>6</v>
      </c>
      <c r="G29" s="36" t="n">
        <v>1.9</v>
      </c>
      <c r="H29" s="36" t="n">
        <f aca="false">F29*G29</f>
        <v>11.4</v>
      </c>
      <c r="I29" s="36" t="n">
        <f aca="false">INDEX(Inventory!$D$2:$D$17,MATCH(C29,Inventory!$A$2:$A$17,0))</f>
        <v>1.3</v>
      </c>
      <c r="J29" s="36" t="n">
        <f aca="false">F29*I29</f>
        <v>7.8</v>
      </c>
      <c r="K29" s="36" t="n">
        <f aca="false">H29-J29</f>
        <v>3.6</v>
      </c>
    </row>
    <row r="30" customFormat="false" ht="15" hidden="false" customHeight="false" outlineLevel="0" collapsed="false">
      <c r="A30" s="41" t="n">
        <v>46205</v>
      </c>
      <c r="B30" s="42" t="n">
        <f aca="false">DATE(YEAR(A30),MONTH(A30),1)</f>
        <v>46204</v>
      </c>
      <c r="C30" s="3" t="s">
        <v>61</v>
      </c>
      <c r="D30" s="3" t="s">
        <v>62</v>
      </c>
      <c r="E30" s="3" t="s">
        <v>29</v>
      </c>
      <c r="F30" s="3" t="n">
        <v>11</v>
      </c>
      <c r="G30" s="36" t="n">
        <v>1.9</v>
      </c>
      <c r="H30" s="36" t="n">
        <f aca="false">F30*G30</f>
        <v>20.9</v>
      </c>
      <c r="I30" s="36" t="n">
        <f aca="false">INDEX(Inventory!$D$2:$D$17,MATCH(C30,Inventory!$A$2:$A$17,0))</f>
        <v>1.1</v>
      </c>
      <c r="J30" s="36" t="n">
        <f aca="false">F30*I30</f>
        <v>12.1</v>
      </c>
      <c r="K30" s="36" t="n">
        <f aca="false">H30-J30</f>
        <v>8.8</v>
      </c>
    </row>
    <row r="31" customFormat="false" ht="15" hidden="false" customHeight="false" outlineLevel="0" collapsed="false">
      <c r="A31" s="41" t="n">
        <v>46205</v>
      </c>
      <c r="B31" s="42" t="n">
        <f aca="false">DATE(YEAR(A31),MONTH(A31),1)</f>
        <v>46204</v>
      </c>
      <c r="C31" s="3" t="s">
        <v>45</v>
      </c>
      <c r="D31" s="3" t="s">
        <v>46</v>
      </c>
      <c r="E31" s="3" t="s">
        <v>29</v>
      </c>
      <c r="F31" s="3" t="n">
        <v>4</v>
      </c>
      <c r="G31" s="36" t="n">
        <v>5.2</v>
      </c>
      <c r="H31" s="36" t="n">
        <f aca="false">F31*G31</f>
        <v>20.8</v>
      </c>
      <c r="I31" s="36" t="n">
        <f aca="false">INDEX(Inventory!$D$2:$D$17,MATCH(C31,Inventory!$A$2:$A$17,0))</f>
        <v>3.5</v>
      </c>
      <c r="J31" s="36" t="n">
        <f aca="false">F31*I31</f>
        <v>14</v>
      </c>
      <c r="K31" s="36" t="n">
        <f aca="false">H31-J31</f>
        <v>6.8</v>
      </c>
    </row>
    <row r="32" customFormat="false" ht="15" hidden="false" customHeight="false" outlineLevel="0" collapsed="false">
      <c r="A32" s="41" t="n">
        <v>46205</v>
      </c>
      <c r="B32" s="42" t="n">
        <f aca="false">DATE(YEAR(A32),MONTH(A32),1)</f>
        <v>46204</v>
      </c>
      <c r="C32" s="3" t="s">
        <v>65</v>
      </c>
      <c r="D32" s="3" t="s">
        <v>66</v>
      </c>
      <c r="E32" s="3" t="s">
        <v>29</v>
      </c>
      <c r="F32" s="3" t="n">
        <v>9</v>
      </c>
      <c r="G32" s="36" t="n">
        <v>1.5</v>
      </c>
      <c r="H32" s="36" t="n">
        <f aca="false">F32*G32</f>
        <v>13.5</v>
      </c>
      <c r="I32" s="36" t="n">
        <f aca="false">INDEX(Inventory!$D$2:$D$17,MATCH(C32,Inventory!$A$2:$A$17,0))</f>
        <v>0.9</v>
      </c>
      <c r="J32" s="36" t="n">
        <f aca="false">F32*I32</f>
        <v>8.1</v>
      </c>
      <c r="K32" s="36" t="n">
        <f aca="false">H32-J32</f>
        <v>5.4</v>
      </c>
    </row>
    <row r="33" customFormat="false" ht="15" hidden="false" customHeight="false" outlineLevel="0" collapsed="false">
      <c r="A33" s="41" t="n">
        <v>46205</v>
      </c>
      <c r="B33" s="42" t="n">
        <f aca="false">DATE(YEAR(A33),MONTH(A33),1)</f>
        <v>46204</v>
      </c>
      <c r="C33" s="3" t="s">
        <v>55</v>
      </c>
      <c r="D33" s="3" t="s">
        <v>56</v>
      </c>
      <c r="E33" s="3" t="s">
        <v>29</v>
      </c>
      <c r="F33" s="3" t="n">
        <v>4</v>
      </c>
      <c r="G33" s="36" t="n">
        <v>2.5</v>
      </c>
      <c r="H33" s="36" t="n">
        <f aca="false">F33*G33</f>
        <v>10</v>
      </c>
      <c r="I33" s="36" t="n">
        <f aca="false">INDEX(Inventory!$D$2:$D$17,MATCH(C33,Inventory!$A$2:$A$17,0))</f>
        <v>1.6</v>
      </c>
      <c r="J33" s="36" t="n">
        <f aca="false">F33*I33</f>
        <v>6.4</v>
      </c>
      <c r="K33" s="36" t="n">
        <f aca="false">H33-J33</f>
        <v>3.6</v>
      </c>
    </row>
    <row r="34" customFormat="false" ht="15" hidden="false" customHeight="false" outlineLevel="0" collapsed="false">
      <c r="A34" s="41" t="n">
        <v>46206</v>
      </c>
      <c r="B34" s="42" t="n">
        <f aca="false">DATE(YEAR(A34),MONTH(A34),1)</f>
        <v>46204</v>
      </c>
      <c r="C34" s="3" t="s">
        <v>39</v>
      </c>
      <c r="D34" s="3" t="s">
        <v>40</v>
      </c>
      <c r="E34" s="3" t="s">
        <v>27</v>
      </c>
      <c r="F34" s="3" t="n">
        <v>13</v>
      </c>
      <c r="G34" s="36" t="n">
        <v>1</v>
      </c>
      <c r="H34" s="36" t="n">
        <f aca="false">F34*G34</f>
        <v>13</v>
      </c>
      <c r="I34" s="36" t="n">
        <f aca="false">INDEX(Inventory!$D$2:$D$17,MATCH(C34,Inventory!$A$2:$A$17,0))</f>
        <v>0.6</v>
      </c>
      <c r="J34" s="36" t="n">
        <f aca="false">F34*I34</f>
        <v>7.8</v>
      </c>
      <c r="K34" s="36" t="n">
        <f aca="false">H34-J34</f>
        <v>5.2</v>
      </c>
    </row>
    <row r="35" customFormat="false" ht="15" hidden="false" customHeight="false" outlineLevel="0" collapsed="false">
      <c r="A35" s="41" t="n">
        <v>46206</v>
      </c>
      <c r="B35" s="42" t="n">
        <f aca="false">DATE(YEAR(A35),MONTH(A35),1)</f>
        <v>46204</v>
      </c>
      <c r="C35" s="3" t="s">
        <v>53</v>
      </c>
      <c r="D35" s="3" t="s">
        <v>54</v>
      </c>
      <c r="E35" s="3" t="s">
        <v>27</v>
      </c>
      <c r="F35" s="3" t="n">
        <v>18</v>
      </c>
      <c r="G35" s="36" t="n">
        <v>0.95</v>
      </c>
      <c r="H35" s="36" t="n">
        <f aca="false">F35*G35</f>
        <v>17.1</v>
      </c>
      <c r="I35" s="36" t="n">
        <f aca="false">INDEX(Inventory!$D$2:$D$17,MATCH(C35,Inventory!$A$2:$A$17,0))</f>
        <v>0.55</v>
      </c>
      <c r="J35" s="36" t="n">
        <f aca="false">F35*I35</f>
        <v>9.9</v>
      </c>
      <c r="K35" s="36" t="n">
        <f aca="false">H35-J35</f>
        <v>7.2</v>
      </c>
    </row>
    <row r="36" customFormat="false" ht="15" hidden="false" customHeight="false" outlineLevel="0" collapsed="false">
      <c r="A36" s="41" t="n">
        <v>46206</v>
      </c>
      <c r="B36" s="42" t="n">
        <f aca="false">DATE(YEAR(A36),MONTH(A36),1)</f>
        <v>46204</v>
      </c>
      <c r="C36" s="3" t="s">
        <v>59</v>
      </c>
      <c r="D36" s="3" t="s">
        <v>60</v>
      </c>
      <c r="E36" s="3" t="s">
        <v>27</v>
      </c>
      <c r="F36" s="3" t="n">
        <v>28</v>
      </c>
      <c r="G36" s="36" t="n">
        <v>0.6</v>
      </c>
      <c r="H36" s="36" t="n">
        <f aca="false">F36*G36</f>
        <v>16.8</v>
      </c>
      <c r="I36" s="36" t="n">
        <f aca="false">INDEX(Inventory!$D$2:$D$17,MATCH(C36,Inventory!$A$2:$A$17,0))</f>
        <v>0.3</v>
      </c>
      <c r="J36" s="36" t="n">
        <f aca="false">F36*I36</f>
        <v>8.4</v>
      </c>
      <c r="K36" s="36" t="n">
        <f aca="false">H36-J36</f>
        <v>8.4</v>
      </c>
    </row>
    <row r="37" customFormat="false" ht="15" hidden="false" customHeight="false" outlineLevel="0" collapsed="false">
      <c r="A37" s="41" t="n">
        <v>46206</v>
      </c>
      <c r="B37" s="42" t="n">
        <f aca="false">DATE(YEAR(A37),MONTH(A37),1)</f>
        <v>46204</v>
      </c>
      <c r="C37" s="3" t="s">
        <v>57</v>
      </c>
      <c r="D37" s="3" t="s">
        <v>58</v>
      </c>
      <c r="E37" s="3" t="s">
        <v>27</v>
      </c>
      <c r="F37" s="3" t="n">
        <v>16</v>
      </c>
      <c r="G37" s="36" t="n">
        <v>1.5</v>
      </c>
      <c r="H37" s="36" t="n">
        <f aca="false">F37*G37</f>
        <v>24</v>
      </c>
      <c r="I37" s="36" t="n">
        <f aca="false">INDEX(Inventory!$D$2:$D$17,MATCH(C37,Inventory!$A$2:$A$17,0))</f>
        <v>0.9</v>
      </c>
      <c r="J37" s="36" t="n">
        <f aca="false">F37*I37</f>
        <v>14.4</v>
      </c>
      <c r="K37" s="36" t="n">
        <f aca="false">H37-J37</f>
        <v>9.6</v>
      </c>
    </row>
    <row r="38" customFormat="false" ht="15" hidden="false" customHeight="false" outlineLevel="0" collapsed="false">
      <c r="A38" s="41" t="n">
        <v>46206</v>
      </c>
      <c r="B38" s="42" t="n">
        <f aca="false">DATE(YEAR(A38),MONTH(A38),1)</f>
        <v>46204</v>
      </c>
      <c r="C38" s="3" t="s">
        <v>41</v>
      </c>
      <c r="D38" s="3" t="s">
        <v>42</v>
      </c>
      <c r="E38" s="3" t="s">
        <v>28</v>
      </c>
      <c r="F38" s="3" t="n">
        <v>26</v>
      </c>
      <c r="G38" s="36" t="n">
        <v>1.3</v>
      </c>
      <c r="H38" s="36" t="n">
        <f aca="false">F38*G38</f>
        <v>33.8</v>
      </c>
      <c r="I38" s="36" t="n">
        <f aca="false">INDEX(Inventory!$D$2:$D$17,MATCH(C38,Inventory!$A$2:$A$17,0))</f>
        <v>0.8</v>
      </c>
      <c r="J38" s="36" t="n">
        <f aca="false">F38*I38</f>
        <v>20.8</v>
      </c>
      <c r="K38" s="36" t="n">
        <f aca="false">H38-J38</f>
        <v>13</v>
      </c>
    </row>
    <row r="39" customFormat="false" ht="15" hidden="false" customHeight="false" outlineLevel="0" collapsed="false">
      <c r="A39" s="41" t="n">
        <v>46206</v>
      </c>
      <c r="B39" s="42" t="n">
        <f aca="false">DATE(YEAR(A39),MONTH(A39),1)</f>
        <v>46204</v>
      </c>
      <c r="C39" s="3" t="s">
        <v>63</v>
      </c>
      <c r="D39" s="3" t="s">
        <v>64</v>
      </c>
      <c r="E39" s="3" t="s">
        <v>28</v>
      </c>
      <c r="F39" s="3" t="n">
        <v>12</v>
      </c>
      <c r="G39" s="36" t="n">
        <v>0.9</v>
      </c>
      <c r="H39" s="36" t="n">
        <f aca="false">F39*G39</f>
        <v>10.8</v>
      </c>
      <c r="I39" s="36" t="n">
        <f aca="false">INDEX(Inventory!$D$2:$D$17,MATCH(C39,Inventory!$A$2:$A$17,0))</f>
        <v>0.5</v>
      </c>
      <c r="J39" s="36" t="n">
        <f aca="false">F39*I39</f>
        <v>6</v>
      </c>
      <c r="K39" s="36" t="n">
        <f aca="false">H39-J39</f>
        <v>4.8</v>
      </c>
    </row>
    <row r="40" customFormat="false" ht="15" hidden="false" customHeight="false" outlineLevel="0" collapsed="false">
      <c r="A40" s="41" t="n">
        <v>46206</v>
      </c>
      <c r="B40" s="42" t="n">
        <f aca="false">DATE(YEAR(A40),MONTH(A40),1)</f>
        <v>46204</v>
      </c>
      <c r="C40" s="3" t="s">
        <v>49</v>
      </c>
      <c r="D40" s="3" t="s">
        <v>50</v>
      </c>
      <c r="E40" s="3" t="s">
        <v>28</v>
      </c>
      <c r="F40" s="3" t="n">
        <v>22</v>
      </c>
      <c r="G40" s="36" t="n">
        <v>1.2</v>
      </c>
      <c r="H40" s="36" t="n">
        <f aca="false">F40*G40</f>
        <v>26.4</v>
      </c>
      <c r="I40" s="36" t="n">
        <f aca="false">INDEX(Inventory!$D$2:$D$17,MATCH(C40,Inventory!$A$2:$A$17,0))</f>
        <v>0.7</v>
      </c>
      <c r="J40" s="36" t="n">
        <f aca="false">F40*I40</f>
        <v>15.4</v>
      </c>
      <c r="K40" s="36" t="n">
        <f aca="false">H40-J40</f>
        <v>11</v>
      </c>
    </row>
    <row r="41" customFormat="false" ht="15" hidden="false" customHeight="false" outlineLevel="0" collapsed="false">
      <c r="A41" s="41" t="n">
        <v>46206</v>
      </c>
      <c r="B41" s="42" t="n">
        <f aca="false">DATE(YEAR(A41),MONTH(A41),1)</f>
        <v>46204</v>
      </c>
      <c r="C41" s="3" t="s">
        <v>51</v>
      </c>
      <c r="D41" s="3" t="s">
        <v>52</v>
      </c>
      <c r="E41" s="3" t="s">
        <v>28</v>
      </c>
      <c r="F41" s="3" t="n">
        <v>20</v>
      </c>
      <c r="G41" s="36" t="n">
        <v>0.85</v>
      </c>
      <c r="H41" s="36" t="n">
        <f aca="false">F41*G41</f>
        <v>17</v>
      </c>
      <c r="I41" s="36" t="n">
        <f aca="false">INDEX(Inventory!$D$2:$D$17,MATCH(C41,Inventory!$A$2:$A$17,0))</f>
        <v>0.45</v>
      </c>
      <c r="J41" s="36" t="n">
        <f aca="false">F41*I41</f>
        <v>9</v>
      </c>
      <c r="K41" s="36" t="n">
        <f aca="false">H41-J41</f>
        <v>8</v>
      </c>
    </row>
    <row r="42" customFormat="false" ht="15" hidden="false" customHeight="false" outlineLevel="0" collapsed="false">
      <c r="A42" s="41" t="n">
        <v>46206</v>
      </c>
      <c r="B42" s="42" t="n">
        <f aca="false">DATE(YEAR(A42),MONTH(A42),1)</f>
        <v>46204</v>
      </c>
      <c r="C42" s="3" t="s">
        <v>37</v>
      </c>
      <c r="D42" s="3" t="s">
        <v>38</v>
      </c>
      <c r="E42" s="3" t="s">
        <v>26</v>
      </c>
      <c r="F42" s="3" t="n">
        <v>27</v>
      </c>
      <c r="G42" s="36" t="n">
        <v>1.2</v>
      </c>
      <c r="H42" s="36" t="n">
        <f aca="false">F42*G42</f>
        <v>32.4</v>
      </c>
      <c r="I42" s="36" t="n">
        <f aca="false">INDEX(Inventory!$D$2:$D$17,MATCH(C42,Inventory!$A$2:$A$17,0))</f>
        <v>0.85</v>
      </c>
      <c r="J42" s="36" t="n">
        <f aca="false">F42*I42</f>
        <v>22.95</v>
      </c>
      <c r="K42" s="36" t="n">
        <f aca="false">H42-J42</f>
        <v>9.45</v>
      </c>
    </row>
    <row r="43" customFormat="false" ht="15" hidden="false" customHeight="false" outlineLevel="0" collapsed="false">
      <c r="A43" s="41" t="n">
        <v>46206</v>
      </c>
      <c r="B43" s="42" t="n">
        <f aca="false">DATE(YEAR(A43),MONTH(A43),1)</f>
        <v>46204</v>
      </c>
      <c r="C43" s="3" t="s">
        <v>47</v>
      </c>
      <c r="D43" s="3" t="s">
        <v>48</v>
      </c>
      <c r="E43" s="3" t="s">
        <v>26</v>
      </c>
      <c r="F43" s="3" t="n">
        <v>11</v>
      </c>
      <c r="G43" s="36" t="n">
        <v>2.2</v>
      </c>
      <c r="H43" s="36" t="n">
        <f aca="false">F43*G43</f>
        <v>24.2</v>
      </c>
      <c r="I43" s="36" t="n">
        <f aca="false">INDEX(Inventory!$D$2:$D$17,MATCH(C43,Inventory!$A$2:$A$17,0))</f>
        <v>1.4</v>
      </c>
      <c r="J43" s="36" t="n">
        <f aca="false">F43*I43</f>
        <v>15.4</v>
      </c>
      <c r="K43" s="36" t="n">
        <f aca="false">H43-J43</f>
        <v>8.8</v>
      </c>
    </row>
    <row r="44" customFormat="false" ht="15" hidden="false" customHeight="false" outlineLevel="0" collapsed="false">
      <c r="A44" s="41" t="n">
        <v>46206</v>
      </c>
      <c r="B44" s="42" t="n">
        <f aca="false">DATE(YEAR(A44),MONTH(A44),1)</f>
        <v>46204</v>
      </c>
      <c r="C44" s="3" t="s">
        <v>43</v>
      </c>
      <c r="D44" s="3" t="s">
        <v>44</v>
      </c>
      <c r="E44" s="3" t="s">
        <v>26</v>
      </c>
      <c r="F44" s="3" t="n">
        <v>8</v>
      </c>
      <c r="G44" s="36" t="n">
        <v>3.8</v>
      </c>
      <c r="H44" s="36" t="n">
        <f aca="false">F44*G44</f>
        <v>30.4</v>
      </c>
      <c r="I44" s="36" t="n">
        <f aca="false">INDEX(Inventory!$D$2:$D$17,MATCH(C44,Inventory!$A$2:$A$17,0))</f>
        <v>2.6</v>
      </c>
      <c r="J44" s="36" t="n">
        <f aca="false">F44*I44</f>
        <v>20.8</v>
      </c>
      <c r="K44" s="36" t="n">
        <f aca="false">H44-J44</f>
        <v>9.6</v>
      </c>
    </row>
    <row r="45" customFormat="false" ht="15" hidden="false" customHeight="false" outlineLevel="0" collapsed="false">
      <c r="A45" s="41" t="n">
        <v>46206</v>
      </c>
      <c r="B45" s="42" t="n">
        <f aca="false">DATE(YEAR(A45),MONTH(A45),1)</f>
        <v>46204</v>
      </c>
      <c r="C45" s="3" t="s">
        <v>67</v>
      </c>
      <c r="D45" s="3" t="s">
        <v>68</v>
      </c>
      <c r="E45" s="3" t="s">
        <v>26</v>
      </c>
      <c r="F45" s="3" t="n">
        <v>8</v>
      </c>
      <c r="G45" s="36" t="n">
        <v>1.9</v>
      </c>
      <c r="H45" s="36" t="n">
        <f aca="false">F45*G45</f>
        <v>15.2</v>
      </c>
      <c r="I45" s="36" t="n">
        <f aca="false">INDEX(Inventory!$D$2:$D$17,MATCH(C45,Inventory!$A$2:$A$17,0))</f>
        <v>1.3</v>
      </c>
      <c r="J45" s="36" t="n">
        <f aca="false">F45*I45</f>
        <v>10.4</v>
      </c>
      <c r="K45" s="36" t="n">
        <f aca="false">H45-J45</f>
        <v>4.8</v>
      </c>
    </row>
    <row r="46" customFormat="false" ht="15" hidden="false" customHeight="false" outlineLevel="0" collapsed="false">
      <c r="A46" s="41" t="n">
        <v>46206</v>
      </c>
      <c r="B46" s="42" t="n">
        <f aca="false">DATE(YEAR(A46),MONTH(A46),1)</f>
        <v>46204</v>
      </c>
      <c r="C46" s="3" t="s">
        <v>61</v>
      </c>
      <c r="D46" s="3" t="s">
        <v>62</v>
      </c>
      <c r="E46" s="3" t="s">
        <v>29</v>
      </c>
      <c r="F46" s="3" t="n">
        <v>12</v>
      </c>
      <c r="G46" s="36" t="n">
        <v>1.9</v>
      </c>
      <c r="H46" s="36" t="n">
        <f aca="false">F46*G46</f>
        <v>22.8</v>
      </c>
      <c r="I46" s="36" t="n">
        <f aca="false">INDEX(Inventory!$D$2:$D$17,MATCH(C46,Inventory!$A$2:$A$17,0))</f>
        <v>1.1</v>
      </c>
      <c r="J46" s="36" t="n">
        <f aca="false">F46*I46</f>
        <v>13.2</v>
      </c>
      <c r="K46" s="36" t="n">
        <f aca="false">H46-J46</f>
        <v>9.6</v>
      </c>
    </row>
    <row r="47" customFormat="false" ht="15" hidden="false" customHeight="false" outlineLevel="0" collapsed="false">
      <c r="A47" s="41" t="n">
        <v>46206</v>
      </c>
      <c r="B47" s="42" t="n">
        <f aca="false">DATE(YEAR(A47),MONTH(A47),1)</f>
        <v>46204</v>
      </c>
      <c r="C47" s="3" t="s">
        <v>45</v>
      </c>
      <c r="D47" s="3" t="s">
        <v>46</v>
      </c>
      <c r="E47" s="3" t="s">
        <v>29</v>
      </c>
      <c r="F47" s="3" t="n">
        <v>6</v>
      </c>
      <c r="G47" s="36" t="n">
        <v>5.2</v>
      </c>
      <c r="H47" s="36" t="n">
        <f aca="false">F47*G47</f>
        <v>31.2</v>
      </c>
      <c r="I47" s="36" t="n">
        <f aca="false">INDEX(Inventory!$D$2:$D$17,MATCH(C47,Inventory!$A$2:$A$17,0))</f>
        <v>3.5</v>
      </c>
      <c r="J47" s="36" t="n">
        <f aca="false">F47*I47</f>
        <v>21</v>
      </c>
      <c r="K47" s="36" t="n">
        <f aca="false">H47-J47</f>
        <v>10.2</v>
      </c>
    </row>
    <row r="48" customFormat="false" ht="15" hidden="false" customHeight="false" outlineLevel="0" collapsed="false">
      <c r="A48" s="41" t="n">
        <v>46206</v>
      </c>
      <c r="B48" s="42" t="n">
        <f aca="false">DATE(YEAR(A48),MONTH(A48),1)</f>
        <v>46204</v>
      </c>
      <c r="C48" s="3" t="s">
        <v>65</v>
      </c>
      <c r="D48" s="3" t="s">
        <v>66</v>
      </c>
      <c r="E48" s="3" t="s">
        <v>29</v>
      </c>
      <c r="F48" s="3" t="n">
        <v>10</v>
      </c>
      <c r="G48" s="36" t="n">
        <v>1.5</v>
      </c>
      <c r="H48" s="36" t="n">
        <f aca="false">F48*G48</f>
        <v>15</v>
      </c>
      <c r="I48" s="36" t="n">
        <f aca="false">INDEX(Inventory!$D$2:$D$17,MATCH(C48,Inventory!$A$2:$A$17,0))</f>
        <v>0.9</v>
      </c>
      <c r="J48" s="36" t="n">
        <f aca="false">F48*I48</f>
        <v>9</v>
      </c>
      <c r="K48" s="36" t="n">
        <f aca="false">H48-J48</f>
        <v>6</v>
      </c>
    </row>
    <row r="49" customFormat="false" ht="15" hidden="false" customHeight="false" outlineLevel="0" collapsed="false">
      <c r="A49" s="41" t="n">
        <v>46206</v>
      </c>
      <c r="B49" s="42" t="n">
        <f aca="false">DATE(YEAR(A49),MONTH(A49),1)</f>
        <v>46204</v>
      </c>
      <c r="C49" s="3" t="s">
        <v>55</v>
      </c>
      <c r="D49" s="3" t="s">
        <v>56</v>
      </c>
      <c r="E49" s="3" t="s">
        <v>29</v>
      </c>
      <c r="F49" s="3" t="n">
        <v>9</v>
      </c>
      <c r="G49" s="36" t="n">
        <v>2.5</v>
      </c>
      <c r="H49" s="36" t="n">
        <f aca="false">F49*G49</f>
        <v>22.5</v>
      </c>
      <c r="I49" s="36" t="n">
        <f aca="false">INDEX(Inventory!$D$2:$D$17,MATCH(C49,Inventory!$A$2:$A$17,0))</f>
        <v>1.6</v>
      </c>
      <c r="J49" s="36" t="n">
        <f aca="false">F49*I49</f>
        <v>14.4</v>
      </c>
      <c r="K49" s="36" t="n">
        <f aca="false">H49-J49</f>
        <v>8.1</v>
      </c>
    </row>
    <row r="50" customFormat="false" ht="15" hidden="false" customHeight="false" outlineLevel="0" collapsed="false">
      <c r="A50" s="41" t="n">
        <v>46207</v>
      </c>
      <c r="B50" s="42" t="n">
        <f aca="false">DATE(YEAR(A50),MONTH(A50),1)</f>
        <v>46204</v>
      </c>
      <c r="C50" s="3" t="s">
        <v>39</v>
      </c>
      <c r="D50" s="3" t="s">
        <v>40</v>
      </c>
      <c r="E50" s="3" t="s">
        <v>27</v>
      </c>
      <c r="F50" s="3" t="n">
        <v>31</v>
      </c>
      <c r="G50" s="36" t="n">
        <v>1</v>
      </c>
      <c r="H50" s="36" t="n">
        <f aca="false">F50*G50</f>
        <v>31</v>
      </c>
      <c r="I50" s="36" t="n">
        <f aca="false">INDEX(Inventory!$D$2:$D$17,MATCH(C50,Inventory!$A$2:$A$17,0))</f>
        <v>0.6</v>
      </c>
      <c r="J50" s="36" t="n">
        <f aca="false">F50*I50</f>
        <v>18.6</v>
      </c>
      <c r="K50" s="36" t="n">
        <f aca="false">H50-J50</f>
        <v>12.4</v>
      </c>
    </row>
    <row r="51" customFormat="false" ht="15" hidden="false" customHeight="false" outlineLevel="0" collapsed="false">
      <c r="A51" s="41" t="n">
        <v>46207</v>
      </c>
      <c r="B51" s="42" t="n">
        <f aca="false">DATE(YEAR(A51),MONTH(A51),1)</f>
        <v>46204</v>
      </c>
      <c r="C51" s="3" t="s">
        <v>53</v>
      </c>
      <c r="D51" s="3" t="s">
        <v>54</v>
      </c>
      <c r="E51" s="3" t="s">
        <v>27</v>
      </c>
      <c r="F51" s="3" t="n">
        <v>21</v>
      </c>
      <c r="G51" s="36" t="n">
        <v>0.95</v>
      </c>
      <c r="H51" s="36" t="n">
        <f aca="false">F51*G51</f>
        <v>19.95</v>
      </c>
      <c r="I51" s="36" t="n">
        <f aca="false">INDEX(Inventory!$D$2:$D$17,MATCH(C51,Inventory!$A$2:$A$17,0))</f>
        <v>0.55</v>
      </c>
      <c r="J51" s="36" t="n">
        <f aca="false">F51*I51</f>
        <v>11.55</v>
      </c>
      <c r="K51" s="36" t="n">
        <f aca="false">H51-J51</f>
        <v>8.4</v>
      </c>
    </row>
    <row r="52" customFormat="false" ht="15" hidden="false" customHeight="false" outlineLevel="0" collapsed="false">
      <c r="A52" s="41" t="n">
        <v>46207</v>
      </c>
      <c r="B52" s="42" t="n">
        <f aca="false">DATE(YEAR(A52),MONTH(A52),1)</f>
        <v>46204</v>
      </c>
      <c r="C52" s="3" t="s">
        <v>59</v>
      </c>
      <c r="D52" s="3" t="s">
        <v>60</v>
      </c>
      <c r="E52" s="3" t="s">
        <v>27</v>
      </c>
      <c r="F52" s="3" t="n">
        <v>37</v>
      </c>
      <c r="G52" s="36" t="n">
        <v>0.6</v>
      </c>
      <c r="H52" s="36" t="n">
        <f aca="false">F52*G52</f>
        <v>22.2</v>
      </c>
      <c r="I52" s="36" t="n">
        <f aca="false">INDEX(Inventory!$D$2:$D$17,MATCH(C52,Inventory!$A$2:$A$17,0))</f>
        <v>0.3</v>
      </c>
      <c r="J52" s="36" t="n">
        <f aca="false">F52*I52</f>
        <v>11.1</v>
      </c>
      <c r="K52" s="36" t="n">
        <f aca="false">H52-J52</f>
        <v>11.1</v>
      </c>
    </row>
    <row r="53" customFormat="false" ht="15" hidden="false" customHeight="false" outlineLevel="0" collapsed="false">
      <c r="A53" s="41" t="n">
        <v>46207</v>
      </c>
      <c r="B53" s="42" t="n">
        <f aca="false">DATE(YEAR(A53),MONTH(A53),1)</f>
        <v>46204</v>
      </c>
      <c r="C53" s="3" t="s">
        <v>57</v>
      </c>
      <c r="D53" s="3" t="s">
        <v>58</v>
      </c>
      <c r="E53" s="3" t="s">
        <v>27</v>
      </c>
      <c r="F53" s="3" t="n">
        <v>18</v>
      </c>
      <c r="G53" s="36" t="n">
        <v>1.5</v>
      </c>
      <c r="H53" s="36" t="n">
        <f aca="false">F53*G53</f>
        <v>27</v>
      </c>
      <c r="I53" s="36" t="n">
        <f aca="false">INDEX(Inventory!$D$2:$D$17,MATCH(C53,Inventory!$A$2:$A$17,0))</f>
        <v>0.9</v>
      </c>
      <c r="J53" s="36" t="n">
        <f aca="false">F53*I53</f>
        <v>16.2</v>
      </c>
      <c r="K53" s="36" t="n">
        <f aca="false">H53-J53</f>
        <v>10.8</v>
      </c>
    </row>
    <row r="54" customFormat="false" ht="15" hidden="false" customHeight="false" outlineLevel="0" collapsed="false">
      <c r="A54" s="41" t="n">
        <v>46207</v>
      </c>
      <c r="B54" s="42" t="n">
        <f aca="false">DATE(YEAR(A54),MONTH(A54),1)</f>
        <v>46204</v>
      </c>
      <c r="C54" s="3" t="s">
        <v>41</v>
      </c>
      <c r="D54" s="3" t="s">
        <v>42</v>
      </c>
      <c r="E54" s="3" t="s">
        <v>28</v>
      </c>
      <c r="F54" s="3" t="n">
        <v>26</v>
      </c>
      <c r="G54" s="36" t="n">
        <v>1.3</v>
      </c>
      <c r="H54" s="36" t="n">
        <f aca="false">F54*G54</f>
        <v>33.8</v>
      </c>
      <c r="I54" s="36" t="n">
        <f aca="false">INDEX(Inventory!$D$2:$D$17,MATCH(C54,Inventory!$A$2:$A$17,0))</f>
        <v>0.8</v>
      </c>
      <c r="J54" s="36" t="n">
        <f aca="false">F54*I54</f>
        <v>20.8</v>
      </c>
      <c r="K54" s="36" t="n">
        <f aca="false">H54-J54</f>
        <v>13</v>
      </c>
    </row>
    <row r="55" customFormat="false" ht="15" hidden="false" customHeight="false" outlineLevel="0" collapsed="false">
      <c r="A55" s="41" t="n">
        <v>46207</v>
      </c>
      <c r="B55" s="42" t="n">
        <f aca="false">DATE(YEAR(A55),MONTH(A55),1)</f>
        <v>46204</v>
      </c>
      <c r="C55" s="3" t="s">
        <v>63</v>
      </c>
      <c r="D55" s="3" t="s">
        <v>64</v>
      </c>
      <c r="E55" s="3" t="s">
        <v>28</v>
      </c>
      <c r="F55" s="3" t="n">
        <v>27</v>
      </c>
      <c r="G55" s="36" t="n">
        <v>0.9</v>
      </c>
      <c r="H55" s="36" t="n">
        <f aca="false">F55*G55</f>
        <v>24.3</v>
      </c>
      <c r="I55" s="36" t="n">
        <f aca="false">INDEX(Inventory!$D$2:$D$17,MATCH(C55,Inventory!$A$2:$A$17,0))</f>
        <v>0.5</v>
      </c>
      <c r="J55" s="36" t="n">
        <f aca="false">F55*I55</f>
        <v>13.5</v>
      </c>
      <c r="K55" s="36" t="n">
        <f aca="false">H55-J55</f>
        <v>10.8</v>
      </c>
    </row>
    <row r="56" customFormat="false" ht="15" hidden="false" customHeight="false" outlineLevel="0" collapsed="false">
      <c r="A56" s="41" t="n">
        <v>46207</v>
      </c>
      <c r="B56" s="42" t="n">
        <f aca="false">DATE(YEAR(A56),MONTH(A56),1)</f>
        <v>46204</v>
      </c>
      <c r="C56" s="3" t="s">
        <v>49</v>
      </c>
      <c r="D56" s="3" t="s">
        <v>50</v>
      </c>
      <c r="E56" s="3" t="s">
        <v>28</v>
      </c>
      <c r="F56" s="3" t="n">
        <v>18</v>
      </c>
      <c r="G56" s="36" t="n">
        <v>1.2</v>
      </c>
      <c r="H56" s="36" t="n">
        <f aca="false">F56*G56</f>
        <v>21.6</v>
      </c>
      <c r="I56" s="36" t="n">
        <f aca="false">INDEX(Inventory!$D$2:$D$17,MATCH(C56,Inventory!$A$2:$A$17,0))</f>
        <v>0.7</v>
      </c>
      <c r="J56" s="36" t="n">
        <f aca="false">F56*I56</f>
        <v>12.6</v>
      </c>
      <c r="K56" s="36" t="n">
        <f aca="false">H56-J56</f>
        <v>9</v>
      </c>
    </row>
    <row r="57" customFormat="false" ht="15" hidden="false" customHeight="false" outlineLevel="0" collapsed="false">
      <c r="A57" s="41" t="n">
        <v>46207</v>
      </c>
      <c r="B57" s="42" t="n">
        <f aca="false">DATE(YEAR(A57),MONTH(A57),1)</f>
        <v>46204</v>
      </c>
      <c r="C57" s="3" t="s">
        <v>51</v>
      </c>
      <c r="D57" s="3" t="s">
        <v>52</v>
      </c>
      <c r="E57" s="3" t="s">
        <v>28</v>
      </c>
      <c r="F57" s="3" t="n">
        <v>24</v>
      </c>
      <c r="G57" s="36" t="n">
        <v>0.85</v>
      </c>
      <c r="H57" s="36" t="n">
        <f aca="false">F57*G57</f>
        <v>20.4</v>
      </c>
      <c r="I57" s="36" t="n">
        <f aca="false">INDEX(Inventory!$D$2:$D$17,MATCH(C57,Inventory!$A$2:$A$17,0))</f>
        <v>0.45</v>
      </c>
      <c r="J57" s="36" t="n">
        <f aca="false">F57*I57</f>
        <v>10.8</v>
      </c>
      <c r="K57" s="36" t="n">
        <f aca="false">H57-J57</f>
        <v>9.6</v>
      </c>
    </row>
    <row r="58" customFormat="false" ht="15" hidden="false" customHeight="false" outlineLevel="0" collapsed="false">
      <c r="A58" s="41" t="n">
        <v>46207</v>
      </c>
      <c r="B58" s="42" t="n">
        <f aca="false">DATE(YEAR(A58),MONTH(A58),1)</f>
        <v>46204</v>
      </c>
      <c r="C58" s="3" t="s">
        <v>37</v>
      </c>
      <c r="D58" s="3" t="s">
        <v>38</v>
      </c>
      <c r="E58" s="3" t="s">
        <v>26</v>
      </c>
      <c r="F58" s="3" t="n">
        <v>37</v>
      </c>
      <c r="G58" s="36" t="n">
        <v>1.2</v>
      </c>
      <c r="H58" s="36" t="n">
        <f aca="false">F58*G58</f>
        <v>44.4</v>
      </c>
      <c r="I58" s="36" t="n">
        <f aca="false">INDEX(Inventory!$D$2:$D$17,MATCH(C58,Inventory!$A$2:$A$17,0))</f>
        <v>0.85</v>
      </c>
      <c r="J58" s="36" t="n">
        <f aca="false">F58*I58</f>
        <v>31.45</v>
      </c>
      <c r="K58" s="36" t="n">
        <f aca="false">H58-J58</f>
        <v>12.95</v>
      </c>
    </row>
    <row r="59" customFormat="false" ht="15" hidden="false" customHeight="false" outlineLevel="0" collapsed="false">
      <c r="A59" s="41" t="n">
        <v>46207</v>
      </c>
      <c r="B59" s="42" t="n">
        <f aca="false">DATE(YEAR(A59),MONTH(A59),1)</f>
        <v>46204</v>
      </c>
      <c r="C59" s="3" t="s">
        <v>47</v>
      </c>
      <c r="D59" s="3" t="s">
        <v>48</v>
      </c>
      <c r="E59" s="3" t="s">
        <v>26</v>
      </c>
      <c r="F59" s="3" t="n">
        <v>17</v>
      </c>
      <c r="G59" s="36" t="n">
        <v>2.2</v>
      </c>
      <c r="H59" s="36" t="n">
        <f aca="false">F59*G59</f>
        <v>37.4</v>
      </c>
      <c r="I59" s="36" t="n">
        <f aca="false">INDEX(Inventory!$D$2:$D$17,MATCH(C59,Inventory!$A$2:$A$17,0))</f>
        <v>1.4</v>
      </c>
      <c r="J59" s="36" t="n">
        <f aca="false">F59*I59</f>
        <v>23.8</v>
      </c>
      <c r="K59" s="36" t="n">
        <f aca="false">H59-J59</f>
        <v>13.6</v>
      </c>
    </row>
    <row r="60" customFormat="false" ht="15" hidden="false" customHeight="false" outlineLevel="0" collapsed="false">
      <c r="A60" s="41" t="n">
        <v>46207</v>
      </c>
      <c r="B60" s="42" t="n">
        <f aca="false">DATE(YEAR(A60),MONTH(A60),1)</f>
        <v>46204</v>
      </c>
      <c r="C60" s="3" t="s">
        <v>43</v>
      </c>
      <c r="D60" s="3" t="s">
        <v>44</v>
      </c>
      <c r="E60" s="3" t="s">
        <v>26</v>
      </c>
      <c r="F60" s="3" t="n">
        <v>10</v>
      </c>
      <c r="G60" s="36" t="n">
        <v>3.8</v>
      </c>
      <c r="H60" s="36" t="n">
        <f aca="false">F60*G60</f>
        <v>38</v>
      </c>
      <c r="I60" s="36" t="n">
        <f aca="false">INDEX(Inventory!$D$2:$D$17,MATCH(C60,Inventory!$A$2:$A$17,0))</f>
        <v>2.6</v>
      </c>
      <c r="J60" s="36" t="n">
        <f aca="false">F60*I60</f>
        <v>26</v>
      </c>
      <c r="K60" s="36" t="n">
        <f aca="false">H60-J60</f>
        <v>12</v>
      </c>
    </row>
    <row r="61" customFormat="false" ht="15" hidden="false" customHeight="false" outlineLevel="0" collapsed="false">
      <c r="A61" s="41" t="n">
        <v>46207</v>
      </c>
      <c r="B61" s="42" t="n">
        <f aca="false">DATE(YEAR(A61),MONTH(A61),1)</f>
        <v>46204</v>
      </c>
      <c r="C61" s="3" t="s">
        <v>67</v>
      </c>
      <c r="D61" s="3" t="s">
        <v>68</v>
      </c>
      <c r="E61" s="3" t="s">
        <v>26</v>
      </c>
      <c r="F61" s="3" t="n">
        <v>9</v>
      </c>
      <c r="G61" s="36" t="n">
        <v>1.9</v>
      </c>
      <c r="H61" s="36" t="n">
        <f aca="false">F61*G61</f>
        <v>17.1</v>
      </c>
      <c r="I61" s="36" t="n">
        <f aca="false">INDEX(Inventory!$D$2:$D$17,MATCH(C61,Inventory!$A$2:$A$17,0))</f>
        <v>1.3</v>
      </c>
      <c r="J61" s="36" t="n">
        <f aca="false">F61*I61</f>
        <v>11.7</v>
      </c>
      <c r="K61" s="36" t="n">
        <f aca="false">H61-J61</f>
        <v>5.4</v>
      </c>
    </row>
    <row r="62" customFormat="false" ht="15" hidden="false" customHeight="false" outlineLevel="0" collapsed="false">
      <c r="A62" s="41" t="n">
        <v>46207</v>
      </c>
      <c r="B62" s="42" t="n">
        <f aca="false">DATE(YEAR(A62),MONTH(A62),1)</f>
        <v>46204</v>
      </c>
      <c r="C62" s="3" t="s">
        <v>61</v>
      </c>
      <c r="D62" s="3" t="s">
        <v>62</v>
      </c>
      <c r="E62" s="3" t="s">
        <v>29</v>
      </c>
      <c r="F62" s="3" t="n">
        <v>15</v>
      </c>
      <c r="G62" s="36" t="n">
        <v>1.9</v>
      </c>
      <c r="H62" s="36" t="n">
        <f aca="false">F62*G62</f>
        <v>28.5</v>
      </c>
      <c r="I62" s="36" t="n">
        <f aca="false">INDEX(Inventory!$D$2:$D$17,MATCH(C62,Inventory!$A$2:$A$17,0))</f>
        <v>1.1</v>
      </c>
      <c r="J62" s="36" t="n">
        <f aca="false">F62*I62</f>
        <v>16.5</v>
      </c>
      <c r="K62" s="36" t="n">
        <f aca="false">H62-J62</f>
        <v>12</v>
      </c>
    </row>
    <row r="63" customFormat="false" ht="15" hidden="false" customHeight="false" outlineLevel="0" collapsed="false">
      <c r="A63" s="41" t="n">
        <v>46207</v>
      </c>
      <c r="B63" s="42" t="n">
        <f aca="false">DATE(YEAR(A63),MONTH(A63),1)</f>
        <v>46204</v>
      </c>
      <c r="C63" s="3" t="s">
        <v>45</v>
      </c>
      <c r="D63" s="3" t="s">
        <v>46</v>
      </c>
      <c r="E63" s="3" t="s">
        <v>29</v>
      </c>
      <c r="F63" s="3" t="n">
        <v>7</v>
      </c>
      <c r="G63" s="36" t="n">
        <v>5.2</v>
      </c>
      <c r="H63" s="36" t="n">
        <f aca="false">F63*G63</f>
        <v>36.4</v>
      </c>
      <c r="I63" s="36" t="n">
        <f aca="false">INDEX(Inventory!$D$2:$D$17,MATCH(C63,Inventory!$A$2:$A$17,0))</f>
        <v>3.5</v>
      </c>
      <c r="J63" s="36" t="n">
        <f aca="false">F63*I63</f>
        <v>24.5</v>
      </c>
      <c r="K63" s="36" t="n">
        <f aca="false">H63-J63</f>
        <v>11.9</v>
      </c>
    </row>
    <row r="64" customFormat="false" ht="15" hidden="false" customHeight="false" outlineLevel="0" collapsed="false">
      <c r="A64" s="41" t="n">
        <v>46207</v>
      </c>
      <c r="B64" s="42" t="n">
        <f aca="false">DATE(YEAR(A64),MONTH(A64),1)</f>
        <v>46204</v>
      </c>
      <c r="C64" s="3" t="s">
        <v>65</v>
      </c>
      <c r="D64" s="3" t="s">
        <v>66</v>
      </c>
      <c r="E64" s="3" t="s">
        <v>29</v>
      </c>
      <c r="F64" s="3" t="n">
        <v>8</v>
      </c>
      <c r="G64" s="36" t="n">
        <v>1.5</v>
      </c>
      <c r="H64" s="36" t="n">
        <f aca="false">F64*G64</f>
        <v>12</v>
      </c>
      <c r="I64" s="36" t="n">
        <f aca="false">INDEX(Inventory!$D$2:$D$17,MATCH(C64,Inventory!$A$2:$A$17,0))</f>
        <v>0.9</v>
      </c>
      <c r="J64" s="36" t="n">
        <f aca="false">F64*I64</f>
        <v>7.2</v>
      </c>
      <c r="K64" s="36" t="n">
        <f aca="false">H64-J64</f>
        <v>4.8</v>
      </c>
    </row>
    <row r="65" customFormat="false" ht="15" hidden="false" customHeight="false" outlineLevel="0" collapsed="false">
      <c r="A65" s="41" t="n">
        <v>46207</v>
      </c>
      <c r="B65" s="42" t="n">
        <f aca="false">DATE(YEAR(A65),MONTH(A65),1)</f>
        <v>46204</v>
      </c>
      <c r="C65" s="3" t="s">
        <v>55</v>
      </c>
      <c r="D65" s="3" t="s">
        <v>56</v>
      </c>
      <c r="E65" s="3" t="s">
        <v>29</v>
      </c>
      <c r="F65" s="3" t="n">
        <v>9</v>
      </c>
      <c r="G65" s="36" t="n">
        <v>2.5</v>
      </c>
      <c r="H65" s="36" t="n">
        <f aca="false">F65*G65</f>
        <v>22.5</v>
      </c>
      <c r="I65" s="36" t="n">
        <f aca="false">INDEX(Inventory!$D$2:$D$17,MATCH(C65,Inventory!$A$2:$A$17,0))</f>
        <v>1.6</v>
      </c>
      <c r="J65" s="36" t="n">
        <f aca="false">F65*I65</f>
        <v>14.4</v>
      </c>
      <c r="K65" s="36" t="n">
        <f aca="false">H65-J65</f>
        <v>8.1</v>
      </c>
    </row>
    <row r="66" customFormat="false" ht="15" hidden="false" customHeight="false" outlineLevel="0" collapsed="false">
      <c r="A66" s="41" t="n">
        <v>46208</v>
      </c>
      <c r="B66" s="42" t="n">
        <f aca="false">DATE(YEAR(A66),MONTH(A66),1)</f>
        <v>46204</v>
      </c>
      <c r="C66" s="3" t="s">
        <v>39</v>
      </c>
      <c r="D66" s="3" t="s">
        <v>40</v>
      </c>
      <c r="E66" s="3" t="s">
        <v>27</v>
      </c>
      <c r="F66" s="3" t="n">
        <v>40</v>
      </c>
      <c r="G66" s="36" t="n">
        <v>1</v>
      </c>
      <c r="H66" s="36" t="n">
        <f aca="false">F66*G66</f>
        <v>40</v>
      </c>
      <c r="I66" s="36" t="n">
        <f aca="false">INDEX(Inventory!$D$2:$D$17,MATCH(C66,Inventory!$A$2:$A$17,0))</f>
        <v>0.6</v>
      </c>
      <c r="J66" s="36" t="n">
        <f aca="false">F66*I66</f>
        <v>24</v>
      </c>
      <c r="K66" s="36" t="n">
        <f aca="false">H66-J66</f>
        <v>16</v>
      </c>
    </row>
    <row r="67" customFormat="false" ht="15" hidden="false" customHeight="false" outlineLevel="0" collapsed="false">
      <c r="A67" s="41" t="n">
        <v>46208</v>
      </c>
      <c r="B67" s="42" t="n">
        <f aca="false">DATE(YEAR(A67),MONTH(A67),1)</f>
        <v>46204</v>
      </c>
      <c r="C67" s="3" t="s">
        <v>53</v>
      </c>
      <c r="D67" s="3" t="s">
        <v>54</v>
      </c>
      <c r="E67" s="3" t="s">
        <v>27</v>
      </c>
      <c r="F67" s="3" t="n">
        <v>17</v>
      </c>
      <c r="G67" s="36" t="n">
        <v>0.95</v>
      </c>
      <c r="H67" s="36" t="n">
        <f aca="false">F67*G67</f>
        <v>16.15</v>
      </c>
      <c r="I67" s="36" t="n">
        <f aca="false">INDEX(Inventory!$D$2:$D$17,MATCH(C67,Inventory!$A$2:$A$17,0))</f>
        <v>0.55</v>
      </c>
      <c r="J67" s="36" t="n">
        <f aca="false">F67*I67</f>
        <v>9.35</v>
      </c>
      <c r="K67" s="36" t="n">
        <f aca="false">H67-J67</f>
        <v>6.8</v>
      </c>
    </row>
    <row r="68" customFormat="false" ht="15" hidden="false" customHeight="false" outlineLevel="0" collapsed="false">
      <c r="A68" s="41" t="n">
        <v>46208</v>
      </c>
      <c r="B68" s="42" t="n">
        <f aca="false">DATE(YEAR(A68),MONTH(A68),1)</f>
        <v>46204</v>
      </c>
      <c r="C68" s="3" t="s">
        <v>59</v>
      </c>
      <c r="D68" s="3" t="s">
        <v>60</v>
      </c>
      <c r="E68" s="3" t="s">
        <v>27</v>
      </c>
      <c r="F68" s="3" t="n">
        <v>39</v>
      </c>
      <c r="G68" s="36" t="n">
        <v>0.6</v>
      </c>
      <c r="H68" s="36" t="n">
        <f aca="false">F68*G68</f>
        <v>23.4</v>
      </c>
      <c r="I68" s="36" t="n">
        <f aca="false">INDEX(Inventory!$D$2:$D$17,MATCH(C68,Inventory!$A$2:$A$17,0))</f>
        <v>0.3</v>
      </c>
      <c r="J68" s="36" t="n">
        <f aca="false">F68*I68</f>
        <v>11.7</v>
      </c>
      <c r="K68" s="36" t="n">
        <f aca="false">H68-J68</f>
        <v>11.7</v>
      </c>
    </row>
    <row r="69" customFormat="false" ht="15" hidden="false" customHeight="false" outlineLevel="0" collapsed="false">
      <c r="A69" s="41" t="n">
        <v>46208</v>
      </c>
      <c r="B69" s="42" t="n">
        <f aca="false">DATE(YEAR(A69),MONTH(A69),1)</f>
        <v>46204</v>
      </c>
      <c r="C69" s="3" t="s">
        <v>57</v>
      </c>
      <c r="D69" s="3" t="s">
        <v>58</v>
      </c>
      <c r="E69" s="3" t="s">
        <v>27</v>
      </c>
      <c r="F69" s="3" t="n">
        <v>16</v>
      </c>
      <c r="G69" s="36" t="n">
        <v>1.5</v>
      </c>
      <c r="H69" s="36" t="n">
        <f aca="false">F69*G69</f>
        <v>24</v>
      </c>
      <c r="I69" s="36" t="n">
        <f aca="false">INDEX(Inventory!$D$2:$D$17,MATCH(C69,Inventory!$A$2:$A$17,0))</f>
        <v>0.9</v>
      </c>
      <c r="J69" s="36" t="n">
        <f aca="false">F69*I69</f>
        <v>14.4</v>
      </c>
      <c r="K69" s="36" t="n">
        <f aca="false">H69-J69</f>
        <v>9.6</v>
      </c>
    </row>
    <row r="70" customFormat="false" ht="15" hidden="false" customHeight="false" outlineLevel="0" collapsed="false">
      <c r="A70" s="41" t="n">
        <v>46208</v>
      </c>
      <c r="B70" s="42" t="n">
        <f aca="false">DATE(YEAR(A70),MONTH(A70),1)</f>
        <v>46204</v>
      </c>
      <c r="C70" s="3" t="s">
        <v>41</v>
      </c>
      <c r="D70" s="3" t="s">
        <v>42</v>
      </c>
      <c r="E70" s="3" t="s">
        <v>28</v>
      </c>
      <c r="F70" s="3" t="n">
        <v>24</v>
      </c>
      <c r="G70" s="36" t="n">
        <v>1.3</v>
      </c>
      <c r="H70" s="36" t="n">
        <f aca="false">F70*G70</f>
        <v>31.2</v>
      </c>
      <c r="I70" s="36" t="n">
        <f aca="false">INDEX(Inventory!$D$2:$D$17,MATCH(C70,Inventory!$A$2:$A$17,0))</f>
        <v>0.8</v>
      </c>
      <c r="J70" s="36" t="n">
        <f aca="false">F70*I70</f>
        <v>19.2</v>
      </c>
      <c r="K70" s="36" t="n">
        <f aca="false">H70-J70</f>
        <v>12</v>
      </c>
    </row>
    <row r="71" customFormat="false" ht="15" hidden="false" customHeight="false" outlineLevel="0" collapsed="false">
      <c r="A71" s="41" t="n">
        <v>46208</v>
      </c>
      <c r="B71" s="42" t="n">
        <f aca="false">DATE(YEAR(A71),MONTH(A71),1)</f>
        <v>46204</v>
      </c>
      <c r="C71" s="3" t="s">
        <v>63</v>
      </c>
      <c r="D71" s="3" t="s">
        <v>64</v>
      </c>
      <c r="E71" s="3" t="s">
        <v>28</v>
      </c>
      <c r="F71" s="3" t="n">
        <v>21</v>
      </c>
      <c r="G71" s="36" t="n">
        <v>0.9</v>
      </c>
      <c r="H71" s="36" t="n">
        <f aca="false">F71*G71</f>
        <v>18.9</v>
      </c>
      <c r="I71" s="36" t="n">
        <f aca="false">INDEX(Inventory!$D$2:$D$17,MATCH(C71,Inventory!$A$2:$A$17,0))</f>
        <v>0.5</v>
      </c>
      <c r="J71" s="36" t="n">
        <f aca="false">F71*I71</f>
        <v>10.5</v>
      </c>
      <c r="K71" s="36" t="n">
        <f aca="false">H71-J71</f>
        <v>8.4</v>
      </c>
    </row>
    <row r="72" customFormat="false" ht="15" hidden="false" customHeight="false" outlineLevel="0" collapsed="false">
      <c r="A72" s="41" t="n">
        <v>46208</v>
      </c>
      <c r="B72" s="42" t="n">
        <f aca="false">DATE(YEAR(A72),MONTH(A72),1)</f>
        <v>46204</v>
      </c>
      <c r="C72" s="3" t="s">
        <v>49</v>
      </c>
      <c r="D72" s="3" t="s">
        <v>50</v>
      </c>
      <c r="E72" s="3" t="s">
        <v>28</v>
      </c>
      <c r="F72" s="3" t="n">
        <v>23</v>
      </c>
      <c r="G72" s="36" t="n">
        <v>1.2</v>
      </c>
      <c r="H72" s="36" t="n">
        <f aca="false">F72*G72</f>
        <v>27.6</v>
      </c>
      <c r="I72" s="36" t="n">
        <f aca="false">INDEX(Inventory!$D$2:$D$17,MATCH(C72,Inventory!$A$2:$A$17,0))</f>
        <v>0.7</v>
      </c>
      <c r="J72" s="36" t="n">
        <f aca="false">F72*I72</f>
        <v>16.1</v>
      </c>
      <c r="K72" s="36" t="n">
        <f aca="false">H72-J72</f>
        <v>11.5</v>
      </c>
    </row>
    <row r="73" customFormat="false" ht="15" hidden="false" customHeight="false" outlineLevel="0" collapsed="false">
      <c r="A73" s="41" t="n">
        <v>46208</v>
      </c>
      <c r="B73" s="42" t="n">
        <f aca="false">DATE(YEAR(A73),MONTH(A73),1)</f>
        <v>46204</v>
      </c>
      <c r="C73" s="3" t="s">
        <v>51</v>
      </c>
      <c r="D73" s="3" t="s">
        <v>52</v>
      </c>
      <c r="E73" s="3" t="s">
        <v>28</v>
      </c>
      <c r="F73" s="3" t="n">
        <v>41</v>
      </c>
      <c r="G73" s="36" t="n">
        <v>0.85</v>
      </c>
      <c r="H73" s="36" t="n">
        <f aca="false">F73*G73</f>
        <v>34.85</v>
      </c>
      <c r="I73" s="36" t="n">
        <f aca="false">INDEX(Inventory!$D$2:$D$17,MATCH(C73,Inventory!$A$2:$A$17,0))</f>
        <v>0.45</v>
      </c>
      <c r="J73" s="36" t="n">
        <f aca="false">F73*I73</f>
        <v>18.45</v>
      </c>
      <c r="K73" s="36" t="n">
        <f aca="false">H73-J73</f>
        <v>16.4</v>
      </c>
    </row>
    <row r="74" customFormat="false" ht="15" hidden="false" customHeight="false" outlineLevel="0" collapsed="false">
      <c r="A74" s="41" t="n">
        <v>46208</v>
      </c>
      <c r="B74" s="42" t="n">
        <f aca="false">DATE(YEAR(A74),MONTH(A74),1)</f>
        <v>46204</v>
      </c>
      <c r="C74" s="3" t="s">
        <v>37</v>
      </c>
      <c r="D74" s="3" t="s">
        <v>38</v>
      </c>
      <c r="E74" s="3" t="s">
        <v>26</v>
      </c>
      <c r="F74" s="3" t="n">
        <v>35</v>
      </c>
      <c r="G74" s="36" t="n">
        <v>1.2</v>
      </c>
      <c r="H74" s="36" t="n">
        <f aca="false">F74*G74</f>
        <v>42</v>
      </c>
      <c r="I74" s="36" t="n">
        <f aca="false">INDEX(Inventory!$D$2:$D$17,MATCH(C74,Inventory!$A$2:$A$17,0))</f>
        <v>0.85</v>
      </c>
      <c r="J74" s="36" t="n">
        <f aca="false">F74*I74</f>
        <v>29.75</v>
      </c>
      <c r="K74" s="36" t="n">
        <f aca="false">H74-J74</f>
        <v>12.25</v>
      </c>
    </row>
    <row r="75" customFormat="false" ht="15" hidden="false" customHeight="false" outlineLevel="0" collapsed="false">
      <c r="A75" s="41" t="n">
        <v>46208</v>
      </c>
      <c r="B75" s="42" t="n">
        <f aca="false">DATE(YEAR(A75),MONTH(A75),1)</f>
        <v>46204</v>
      </c>
      <c r="C75" s="3" t="s">
        <v>47</v>
      </c>
      <c r="D75" s="3" t="s">
        <v>48</v>
      </c>
      <c r="E75" s="3" t="s">
        <v>26</v>
      </c>
      <c r="F75" s="3" t="n">
        <v>11</v>
      </c>
      <c r="G75" s="36" t="n">
        <v>2.2</v>
      </c>
      <c r="H75" s="36" t="n">
        <f aca="false">F75*G75</f>
        <v>24.2</v>
      </c>
      <c r="I75" s="36" t="n">
        <f aca="false">INDEX(Inventory!$D$2:$D$17,MATCH(C75,Inventory!$A$2:$A$17,0))</f>
        <v>1.4</v>
      </c>
      <c r="J75" s="36" t="n">
        <f aca="false">F75*I75</f>
        <v>15.4</v>
      </c>
      <c r="K75" s="36" t="n">
        <f aca="false">H75-J75</f>
        <v>8.8</v>
      </c>
    </row>
    <row r="76" customFormat="false" ht="15" hidden="false" customHeight="false" outlineLevel="0" collapsed="false">
      <c r="A76" s="41" t="n">
        <v>46208</v>
      </c>
      <c r="B76" s="42" t="n">
        <f aca="false">DATE(YEAR(A76),MONTH(A76),1)</f>
        <v>46204</v>
      </c>
      <c r="C76" s="3" t="s">
        <v>43</v>
      </c>
      <c r="D76" s="3" t="s">
        <v>44</v>
      </c>
      <c r="E76" s="3" t="s">
        <v>26</v>
      </c>
      <c r="F76" s="3" t="n">
        <v>8</v>
      </c>
      <c r="G76" s="36" t="n">
        <v>3.8</v>
      </c>
      <c r="H76" s="36" t="n">
        <f aca="false">F76*G76</f>
        <v>30.4</v>
      </c>
      <c r="I76" s="36" t="n">
        <f aca="false">INDEX(Inventory!$D$2:$D$17,MATCH(C76,Inventory!$A$2:$A$17,0))</f>
        <v>2.6</v>
      </c>
      <c r="J76" s="36" t="n">
        <f aca="false">F76*I76</f>
        <v>20.8</v>
      </c>
      <c r="K76" s="36" t="n">
        <f aca="false">H76-J76</f>
        <v>9.6</v>
      </c>
    </row>
    <row r="77" customFormat="false" ht="15" hidden="false" customHeight="false" outlineLevel="0" collapsed="false">
      <c r="A77" s="41" t="n">
        <v>46208</v>
      </c>
      <c r="B77" s="42" t="n">
        <f aca="false">DATE(YEAR(A77),MONTH(A77),1)</f>
        <v>46204</v>
      </c>
      <c r="C77" s="3" t="s">
        <v>67</v>
      </c>
      <c r="D77" s="3" t="s">
        <v>68</v>
      </c>
      <c r="E77" s="3" t="s">
        <v>26</v>
      </c>
      <c r="F77" s="3" t="n">
        <v>7</v>
      </c>
      <c r="G77" s="36" t="n">
        <v>1.9</v>
      </c>
      <c r="H77" s="36" t="n">
        <f aca="false">F77*G77</f>
        <v>13.3</v>
      </c>
      <c r="I77" s="36" t="n">
        <f aca="false">INDEX(Inventory!$D$2:$D$17,MATCH(C77,Inventory!$A$2:$A$17,0))</f>
        <v>1.3</v>
      </c>
      <c r="J77" s="36" t="n">
        <f aca="false">F77*I77</f>
        <v>9.1</v>
      </c>
      <c r="K77" s="36" t="n">
        <f aca="false">H77-J77</f>
        <v>4.2</v>
      </c>
    </row>
    <row r="78" customFormat="false" ht="15" hidden="false" customHeight="false" outlineLevel="0" collapsed="false">
      <c r="A78" s="41" t="n">
        <v>46208</v>
      </c>
      <c r="B78" s="42" t="n">
        <f aca="false">DATE(YEAR(A78),MONTH(A78),1)</f>
        <v>46204</v>
      </c>
      <c r="C78" s="3" t="s">
        <v>61</v>
      </c>
      <c r="D78" s="3" t="s">
        <v>62</v>
      </c>
      <c r="E78" s="3" t="s">
        <v>29</v>
      </c>
      <c r="F78" s="3" t="n">
        <v>14</v>
      </c>
      <c r="G78" s="36" t="n">
        <v>1.9</v>
      </c>
      <c r="H78" s="36" t="n">
        <f aca="false">F78*G78</f>
        <v>26.6</v>
      </c>
      <c r="I78" s="36" t="n">
        <f aca="false">INDEX(Inventory!$D$2:$D$17,MATCH(C78,Inventory!$A$2:$A$17,0))</f>
        <v>1.1</v>
      </c>
      <c r="J78" s="36" t="n">
        <f aca="false">F78*I78</f>
        <v>15.4</v>
      </c>
      <c r="K78" s="36" t="n">
        <f aca="false">H78-J78</f>
        <v>11.2</v>
      </c>
    </row>
    <row r="79" customFormat="false" ht="15" hidden="false" customHeight="false" outlineLevel="0" collapsed="false">
      <c r="A79" s="41" t="n">
        <v>46208</v>
      </c>
      <c r="B79" s="42" t="n">
        <f aca="false">DATE(YEAR(A79),MONTH(A79),1)</f>
        <v>46204</v>
      </c>
      <c r="C79" s="3" t="s">
        <v>45</v>
      </c>
      <c r="D79" s="3" t="s">
        <v>46</v>
      </c>
      <c r="E79" s="3" t="s">
        <v>29</v>
      </c>
      <c r="F79" s="3" t="n">
        <v>6</v>
      </c>
      <c r="G79" s="36" t="n">
        <v>5.2</v>
      </c>
      <c r="H79" s="36" t="n">
        <f aca="false">F79*G79</f>
        <v>31.2</v>
      </c>
      <c r="I79" s="36" t="n">
        <f aca="false">INDEX(Inventory!$D$2:$D$17,MATCH(C79,Inventory!$A$2:$A$17,0))</f>
        <v>3.5</v>
      </c>
      <c r="J79" s="36" t="n">
        <f aca="false">F79*I79</f>
        <v>21</v>
      </c>
      <c r="K79" s="36" t="n">
        <f aca="false">H79-J79</f>
        <v>10.2</v>
      </c>
    </row>
    <row r="80" customFormat="false" ht="15" hidden="false" customHeight="false" outlineLevel="0" collapsed="false">
      <c r="A80" s="41" t="n">
        <v>46208</v>
      </c>
      <c r="B80" s="42" t="n">
        <f aca="false">DATE(YEAR(A80),MONTH(A80),1)</f>
        <v>46204</v>
      </c>
      <c r="C80" s="3" t="s">
        <v>65</v>
      </c>
      <c r="D80" s="3" t="s">
        <v>66</v>
      </c>
      <c r="E80" s="3" t="s">
        <v>29</v>
      </c>
      <c r="F80" s="3" t="n">
        <v>10</v>
      </c>
      <c r="G80" s="36" t="n">
        <v>1.5</v>
      </c>
      <c r="H80" s="36" t="n">
        <f aca="false">F80*G80</f>
        <v>15</v>
      </c>
      <c r="I80" s="36" t="n">
        <f aca="false">INDEX(Inventory!$D$2:$D$17,MATCH(C80,Inventory!$A$2:$A$17,0))</f>
        <v>0.9</v>
      </c>
      <c r="J80" s="36" t="n">
        <f aca="false">F80*I80</f>
        <v>9</v>
      </c>
      <c r="K80" s="36" t="n">
        <f aca="false">H80-J80</f>
        <v>6</v>
      </c>
    </row>
    <row r="81" customFormat="false" ht="15" hidden="false" customHeight="false" outlineLevel="0" collapsed="false">
      <c r="A81" s="41" t="n">
        <v>46208</v>
      </c>
      <c r="B81" s="42" t="n">
        <f aca="false">DATE(YEAR(A81),MONTH(A81),1)</f>
        <v>46204</v>
      </c>
      <c r="C81" s="3" t="s">
        <v>55</v>
      </c>
      <c r="D81" s="3" t="s">
        <v>56</v>
      </c>
      <c r="E81" s="3" t="s">
        <v>29</v>
      </c>
      <c r="F81" s="3" t="n">
        <v>10</v>
      </c>
      <c r="G81" s="36" t="n">
        <v>2.5</v>
      </c>
      <c r="H81" s="36" t="n">
        <f aca="false">F81*G81</f>
        <v>25</v>
      </c>
      <c r="I81" s="36" t="n">
        <f aca="false">INDEX(Inventory!$D$2:$D$17,MATCH(C81,Inventory!$A$2:$A$17,0))</f>
        <v>1.6</v>
      </c>
      <c r="J81" s="36" t="n">
        <f aca="false">F81*I81</f>
        <v>16</v>
      </c>
      <c r="K81" s="36" t="n">
        <f aca="false">H81-J81</f>
        <v>9</v>
      </c>
    </row>
    <row r="82" customFormat="false" ht="15" hidden="false" customHeight="false" outlineLevel="0" collapsed="false">
      <c r="A82" s="41" t="n">
        <v>46209</v>
      </c>
      <c r="B82" s="42" t="n">
        <f aca="false">DATE(YEAR(A82),MONTH(A82),1)</f>
        <v>46204</v>
      </c>
      <c r="C82" s="3" t="s">
        <v>39</v>
      </c>
      <c r="D82" s="3" t="s">
        <v>40</v>
      </c>
      <c r="E82" s="3" t="s">
        <v>27</v>
      </c>
      <c r="F82" s="3" t="n">
        <v>21</v>
      </c>
      <c r="G82" s="36" t="n">
        <v>1</v>
      </c>
      <c r="H82" s="36" t="n">
        <f aca="false">F82*G82</f>
        <v>21</v>
      </c>
      <c r="I82" s="36" t="n">
        <f aca="false">INDEX(Inventory!$D$2:$D$17,MATCH(C82,Inventory!$A$2:$A$17,0))</f>
        <v>0.6</v>
      </c>
      <c r="J82" s="36" t="n">
        <f aca="false">F82*I82</f>
        <v>12.6</v>
      </c>
      <c r="K82" s="36" t="n">
        <f aca="false">H82-J82</f>
        <v>8.4</v>
      </c>
    </row>
    <row r="83" customFormat="false" ht="15" hidden="false" customHeight="false" outlineLevel="0" collapsed="false">
      <c r="A83" s="41" t="n">
        <v>46209</v>
      </c>
      <c r="B83" s="42" t="n">
        <f aca="false">DATE(YEAR(A83),MONTH(A83),1)</f>
        <v>46204</v>
      </c>
      <c r="C83" s="3" t="s">
        <v>53</v>
      </c>
      <c r="D83" s="3" t="s">
        <v>54</v>
      </c>
      <c r="E83" s="3" t="s">
        <v>27</v>
      </c>
      <c r="F83" s="3" t="n">
        <v>17</v>
      </c>
      <c r="G83" s="36" t="n">
        <v>0.95</v>
      </c>
      <c r="H83" s="36" t="n">
        <f aca="false">F83*G83</f>
        <v>16.15</v>
      </c>
      <c r="I83" s="36" t="n">
        <f aca="false">INDEX(Inventory!$D$2:$D$17,MATCH(C83,Inventory!$A$2:$A$17,0))</f>
        <v>0.55</v>
      </c>
      <c r="J83" s="36" t="n">
        <f aca="false">F83*I83</f>
        <v>9.35</v>
      </c>
      <c r="K83" s="36" t="n">
        <f aca="false">H83-J83</f>
        <v>6.8</v>
      </c>
    </row>
    <row r="84" customFormat="false" ht="15" hidden="false" customHeight="false" outlineLevel="0" collapsed="false">
      <c r="A84" s="41" t="n">
        <v>46209</v>
      </c>
      <c r="B84" s="42" t="n">
        <f aca="false">DATE(YEAR(A84),MONTH(A84),1)</f>
        <v>46204</v>
      </c>
      <c r="C84" s="3" t="s">
        <v>59</v>
      </c>
      <c r="D84" s="3" t="s">
        <v>60</v>
      </c>
      <c r="E84" s="3" t="s">
        <v>27</v>
      </c>
      <c r="F84" s="3" t="n">
        <v>16</v>
      </c>
      <c r="G84" s="36" t="n">
        <v>0.6</v>
      </c>
      <c r="H84" s="36" t="n">
        <f aca="false">F84*G84</f>
        <v>9.6</v>
      </c>
      <c r="I84" s="36" t="n">
        <f aca="false">INDEX(Inventory!$D$2:$D$17,MATCH(C84,Inventory!$A$2:$A$17,0))</f>
        <v>0.3</v>
      </c>
      <c r="J84" s="36" t="n">
        <f aca="false">F84*I84</f>
        <v>4.8</v>
      </c>
      <c r="K84" s="36" t="n">
        <f aca="false">H84-J84</f>
        <v>4.8</v>
      </c>
    </row>
    <row r="85" customFormat="false" ht="15" hidden="false" customHeight="false" outlineLevel="0" collapsed="false">
      <c r="A85" s="41" t="n">
        <v>46209</v>
      </c>
      <c r="B85" s="42" t="n">
        <f aca="false">DATE(YEAR(A85),MONTH(A85),1)</f>
        <v>46204</v>
      </c>
      <c r="C85" s="3" t="s">
        <v>57</v>
      </c>
      <c r="D85" s="3" t="s">
        <v>58</v>
      </c>
      <c r="E85" s="3" t="s">
        <v>27</v>
      </c>
      <c r="F85" s="3" t="n">
        <v>9</v>
      </c>
      <c r="G85" s="36" t="n">
        <v>1.5</v>
      </c>
      <c r="H85" s="36" t="n">
        <f aca="false">F85*G85</f>
        <v>13.5</v>
      </c>
      <c r="I85" s="36" t="n">
        <f aca="false">INDEX(Inventory!$D$2:$D$17,MATCH(C85,Inventory!$A$2:$A$17,0))</f>
        <v>0.9</v>
      </c>
      <c r="J85" s="36" t="n">
        <f aca="false">F85*I85</f>
        <v>8.1</v>
      </c>
      <c r="K85" s="36" t="n">
        <f aca="false">H85-J85</f>
        <v>5.4</v>
      </c>
    </row>
    <row r="86" customFormat="false" ht="15" hidden="false" customHeight="false" outlineLevel="0" collapsed="false">
      <c r="A86" s="41" t="n">
        <v>46209</v>
      </c>
      <c r="B86" s="42" t="n">
        <f aca="false">DATE(YEAR(A86),MONTH(A86),1)</f>
        <v>46204</v>
      </c>
      <c r="C86" s="3" t="s">
        <v>41</v>
      </c>
      <c r="D86" s="3" t="s">
        <v>42</v>
      </c>
      <c r="E86" s="3" t="s">
        <v>28</v>
      </c>
      <c r="F86" s="3" t="n">
        <v>17</v>
      </c>
      <c r="G86" s="36" t="n">
        <v>1.3</v>
      </c>
      <c r="H86" s="36" t="n">
        <f aca="false">F86*G86</f>
        <v>22.1</v>
      </c>
      <c r="I86" s="36" t="n">
        <f aca="false">INDEX(Inventory!$D$2:$D$17,MATCH(C86,Inventory!$A$2:$A$17,0))</f>
        <v>0.8</v>
      </c>
      <c r="J86" s="36" t="n">
        <f aca="false">F86*I86</f>
        <v>13.6</v>
      </c>
      <c r="K86" s="36" t="n">
        <f aca="false">H86-J86</f>
        <v>8.5</v>
      </c>
    </row>
    <row r="87" customFormat="false" ht="15" hidden="false" customHeight="false" outlineLevel="0" collapsed="false">
      <c r="A87" s="41" t="n">
        <v>46209</v>
      </c>
      <c r="B87" s="42" t="n">
        <f aca="false">DATE(YEAR(A87),MONTH(A87),1)</f>
        <v>46204</v>
      </c>
      <c r="C87" s="3" t="s">
        <v>63</v>
      </c>
      <c r="D87" s="3" t="s">
        <v>64</v>
      </c>
      <c r="E87" s="3" t="s">
        <v>28</v>
      </c>
      <c r="F87" s="3" t="n">
        <v>15</v>
      </c>
      <c r="G87" s="36" t="n">
        <v>0.9</v>
      </c>
      <c r="H87" s="36" t="n">
        <f aca="false">F87*G87</f>
        <v>13.5</v>
      </c>
      <c r="I87" s="36" t="n">
        <f aca="false">INDEX(Inventory!$D$2:$D$17,MATCH(C87,Inventory!$A$2:$A$17,0))</f>
        <v>0.5</v>
      </c>
      <c r="J87" s="36" t="n">
        <f aca="false">F87*I87</f>
        <v>7.5</v>
      </c>
      <c r="K87" s="36" t="n">
        <f aca="false">H87-J87</f>
        <v>6</v>
      </c>
    </row>
    <row r="88" customFormat="false" ht="15" hidden="false" customHeight="false" outlineLevel="0" collapsed="false">
      <c r="A88" s="41" t="n">
        <v>46209</v>
      </c>
      <c r="B88" s="42" t="n">
        <f aca="false">DATE(YEAR(A88),MONTH(A88),1)</f>
        <v>46204</v>
      </c>
      <c r="C88" s="3" t="s">
        <v>49</v>
      </c>
      <c r="D88" s="3" t="s">
        <v>50</v>
      </c>
      <c r="E88" s="3" t="s">
        <v>28</v>
      </c>
      <c r="F88" s="3" t="n">
        <v>21</v>
      </c>
      <c r="G88" s="36" t="n">
        <v>1.2</v>
      </c>
      <c r="H88" s="36" t="n">
        <f aca="false">F88*G88</f>
        <v>25.2</v>
      </c>
      <c r="I88" s="36" t="n">
        <f aca="false">INDEX(Inventory!$D$2:$D$17,MATCH(C88,Inventory!$A$2:$A$17,0))</f>
        <v>0.7</v>
      </c>
      <c r="J88" s="36" t="n">
        <f aca="false">F88*I88</f>
        <v>14.7</v>
      </c>
      <c r="K88" s="36" t="n">
        <f aca="false">H88-J88</f>
        <v>10.5</v>
      </c>
    </row>
    <row r="89" customFormat="false" ht="15" hidden="false" customHeight="false" outlineLevel="0" collapsed="false">
      <c r="A89" s="41" t="n">
        <v>46209</v>
      </c>
      <c r="B89" s="42" t="n">
        <f aca="false">DATE(YEAR(A89),MONTH(A89),1)</f>
        <v>46204</v>
      </c>
      <c r="C89" s="3" t="s">
        <v>51</v>
      </c>
      <c r="D89" s="3" t="s">
        <v>52</v>
      </c>
      <c r="E89" s="3" t="s">
        <v>28</v>
      </c>
      <c r="F89" s="3" t="n">
        <v>22</v>
      </c>
      <c r="G89" s="36" t="n">
        <v>0.85</v>
      </c>
      <c r="H89" s="36" t="n">
        <f aca="false">F89*G89</f>
        <v>18.7</v>
      </c>
      <c r="I89" s="36" t="n">
        <f aca="false">INDEX(Inventory!$D$2:$D$17,MATCH(C89,Inventory!$A$2:$A$17,0))</f>
        <v>0.45</v>
      </c>
      <c r="J89" s="36" t="n">
        <f aca="false">F89*I89</f>
        <v>9.9</v>
      </c>
      <c r="K89" s="36" t="n">
        <f aca="false">H89-J89</f>
        <v>8.8</v>
      </c>
    </row>
    <row r="90" customFormat="false" ht="15" hidden="false" customHeight="false" outlineLevel="0" collapsed="false">
      <c r="A90" s="41" t="n">
        <v>46209</v>
      </c>
      <c r="B90" s="42" t="n">
        <f aca="false">DATE(YEAR(A90),MONTH(A90),1)</f>
        <v>46204</v>
      </c>
      <c r="C90" s="3" t="s">
        <v>37</v>
      </c>
      <c r="D90" s="3" t="s">
        <v>38</v>
      </c>
      <c r="E90" s="3" t="s">
        <v>26</v>
      </c>
      <c r="F90" s="3" t="n">
        <v>26</v>
      </c>
      <c r="G90" s="36" t="n">
        <v>1.2</v>
      </c>
      <c r="H90" s="36" t="n">
        <f aca="false">F90*G90</f>
        <v>31.2</v>
      </c>
      <c r="I90" s="36" t="n">
        <f aca="false">INDEX(Inventory!$D$2:$D$17,MATCH(C90,Inventory!$A$2:$A$17,0))</f>
        <v>0.85</v>
      </c>
      <c r="J90" s="36" t="n">
        <f aca="false">F90*I90</f>
        <v>22.1</v>
      </c>
      <c r="K90" s="36" t="n">
        <f aca="false">H90-J90</f>
        <v>9.1</v>
      </c>
    </row>
    <row r="91" customFormat="false" ht="15" hidden="false" customHeight="false" outlineLevel="0" collapsed="false">
      <c r="A91" s="41" t="n">
        <v>46209</v>
      </c>
      <c r="B91" s="42" t="n">
        <f aca="false">DATE(YEAR(A91),MONTH(A91),1)</f>
        <v>46204</v>
      </c>
      <c r="C91" s="3" t="s">
        <v>47</v>
      </c>
      <c r="D91" s="3" t="s">
        <v>48</v>
      </c>
      <c r="E91" s="3" t="s">
        <v>26</v>
      </c>
      <c r="F91" s="3" t="n">
        <v>10</v>
      </c>
      <c r="G91" s="36" t="n">
        <v>2.2</v>
      </c>
      <c r="H91" s="36" t="n">
        <f aca="false">F91*G91</f>
        <v>22</v>
      </c>
      <c r="I91" s="36" t="n">
        <f aca="false">INDEX(Inventory!$D$2:$D$17,MATCH(C91,Inventory!$A$2:$A$17,0))</f>
        <v>1.4</v>
      </c>
      <c r="J91" s="36" t="n">
        <f aca="false">F91*I91</f>
        <v>14</v>
      </c>
      <c r="K91" s="36" t="n">
        <f aca="false">H91-J91</f>
        <v>8</v>
      </c>
    </row>
    <row r="92" customFormat="false" ht="15" hidden="false" customHeight="false" outlineLevel="0" collapsed="false">
      <c r="A92" s="41" t="n">
        <v>46209</v>
      </c>
      <c r="B92" s="42" t="n">
        <f aca="false">DATE(YEAR(A92),MONTH(A92),1)</f>
        <v>46204</v>
      </c>
      <c r="C92" s="3" t="s">
        <v>43</v>
      </c>
      <c r="D92" s="3" t="s">
        <v>44</v>
      </c>
      <c r="E92" s="3" t="s">
        <v>26</v>
      </c>
      <c r="F92" s="3" t="n">
        <v>9</v>
      </c>
      <c r="G92" s="36" t="n">
        <v>3.8</v>
      </c>
      <c r="H92" s="36" t="n">
        <f aca="false">F92*G92</f>
        <v>34.2</v>
      </c>
      <c r="I92" s="36" t="n">
        <f aca="false">INDEX(Inventory!$D$2:$D$17,MATCH(C92,Inventory!$A$2:$A$17,0))</f>
        <v>2.6</v>
      </c>
      <c r="J92" s="36" t="n">
        <f aca="false">F92*I92</f>
        <v>23.4</v>
      </c>
      <c r="K92" s="36" t="n">
        <f aca="false">H92-J92</f>
        <v>10.8</v>
      </c>
    </row>
    <row r="93" customFormat="false" ht="15" hidden="false" customHeight="false" outlineLevel="0" collapsed="false">
      <c r="A93" s="41" t="n">
        <v>46209</v>
      </c>
      <c r="B93" s="42" t="n">
        <f aca="false">DATE(YEAR(A93),MONTH(A93),1)</f>
        <v>46204</v>
      </c>
      <c r="C93" s="3" t="s">
        <v>67</v>
      </c>
      <c r="D93" s="3" t="s">
        <v>68</v>
      </c>
      <c r="E93" s="3" t="s">
        <v>26</v>
      </c>
      <c r="F93" s="3" t="n">
        <v>7</v>
      </c>
      <c r="G93" s="36" t="n">
        <v>1.9</v>
      </c>
      <c r="H93" s="36" t="n">
        <f aca="false">F93*G93</f>
        <v>13.3</v>
      </c>
      <c r="I93" s="36" t="n">
        <f aca="false">INDEX(Inventory!$D$2:$D$17,MATCH(C93,Inventory!$A$2:$A$17,0))</f>
        <v>1.3</v>
      </c>
      <c r="J93" s="36" t="n">
        <f aca="false">F93*I93</f>
        <v>9.1</v>
      </c>
      <c r="K93" s="36" t="n">
        <f aca="false">H93-J93</f>
        <v>4.2</v>
      </c>
    </row>
    <row r="94" customFormat="false" ht="15" hidden="false" customHeight="false" outlineLevel="0" collapsed="false">
      <c r="A94" s="41" t="n">
        <v>46209</v>
      </c>
      <c r="B94" s="42" t="n">
        <f aca="false">DATE(YEAR(A94),MONTH(A94),1)</f>
        <v>46204</v>
      </c>
      <c r="C94" s="3" t="s">
        <v>61</v>
      </c>
      <c r="D94" s="3" t="s">
        <v>62</v>
      </c>
      <c r="E94" s="3" t="s">
        <v>29</v>
      </c>
      <c r="F94" s="3" t="n">
        <v>10</v>
      </c>
      <c r="G94" s="36" t="n">
        <v>1.9</v>
      </c>
      <c r="H94" s="36" t="n">
        <f aca="false">F94*G94</f>
        <v>19</v>
      </c>
      <c r="I94" s="36" t="n">
        <f aca="false">INDEX(Inventory!$D$2:$D$17,MATCH(C94,Inventory!$A$2:$A$17,0))</f>
        <v>1.1</v>
      </c>
      <c r="J94" s="36" t="n">
        <f aca="false">F94*I94</f>
        <v>11</v>
      </c>
      <c r="K94" s="36" t="n">
        <f aca="false">H94-J94</f>
        <v>8</v>
      </c>
    </row>
    <row r="95" customFormat="false" ht="15" hidden="false" customHeight="false" outlineLevel="0" collapsed="false">
      <c r="A95" s="41" t="n">
        <v>46209</v>
      </c>
      <c r="B95" s="42" t="n">
        <f aca="false">DATE(YEAR(A95),MONTH(A95),1)</f>
        <v>46204</v>
      </c>
      <c r="C95" s="3" t="s">
        <v>45</v>
      </c>
      <c r="D95" s="3" t="s">
        <v>46</v>
      </c>
      <c r="E95" s="3" t="s">
        <v>29</v>
      </c>
      <c r="F95" s="3" t="n">
        <v>4</v>
      </c>
      <c r="G95" s="36" t="n">
        <v>5.2</v>
      </c>
      <c r="H95" s="36" t="n">
        <f aca="false">F95*G95</f>
        <v>20.8</v>
      </c>
      <c r="I95" s="36" t="n">
        <f aca="false">INDEX(Inventory!$D$2:$D$17,MATCH(C95,Inventory!$A$2:$A$17,0))</f>
        <v>3.5</v>
      </c>
      <c r="J95" s="36" t="n">
        <f aca="false">F95*I95</f>
        <v>14</v>
      </c>
      <c r="K95" s="36" t="n">
        <f aca="false">H95-J95</f>
        <v>6.8</v>
      </c>
    </row>
    <row r="96" customFormat="false" ht="15" hidden="false" customHeight="false" outlineLevel="0" collapsed="false">
      <c r="A96" s="41" t="n">
        <v>46209</v>
      </c>
      <c r="B96" s="42" t="n">
        <f aca="false">DATE(YEAR(A96),MONTH(A96),1)</f>
        <v>46204</v>
      </c>
      <c r="C96" s="3" t="s">
        <v>65</v>
      </c>
      <c r="D96" s="3" t="s">
        <v>66</v>
      </c>
      <c r="E96" s="3" t="s">
        <v>29</v>
      </c>
      <c r="F96" s="3" t="n">
        <v>10</v>
      </c>
      <c r="G96" s="36" t="n">
        <v>1.5</v>
      </c>
      <c r="H96" s="36" t="n">
        <f aca="false">F96*G96</f>
        <v>15</v>
      </c>
      <c r="I96" s="36" t="n">
        <f aca="false">INDEX(Inventory!$D$2:$D$17,MATCH(C96,Inventory!$A$2:$A$17,0))</f>
        <v>0.9</v>
      </c>
      <c r="J96" s="36" t="n">
        <f aca="false">F96*I96</f>
        <v>9</v>
      </c>
      <c r="K96" s="36" t="n">
        <f aca="false">H96-J96</f>
        <v>6</v>
      </c>
    </row>
    <row r="97" customFormat="false" ht="15" hidden="false" customHeight="false" outlineLevel="0" collapsed="false">
      <c r="A97" s="41" t="n">
        <v>46209</v>
      </c>
      <c r="B97" s="42" t="n">
        <f aca="false">DATE(YEAR(A97),MONTH(A97),1)</f>
        <v>46204</v>
      </c>
      <c r="C97" s="3" t="s">
        <v>55</v>
      </c>
      <c r="D97" s="3" t="s">
        <v>56</v>
      </c>
      <c r="E97" s="3" t="s">
        <v>29</v>
      </c>
      <c r="F97" s="3" t="n">
        <v>8</v>
      </c>
      <c r="G97" s="36" t="n">
        <v>2.5</v>
      </c>
      <c r="H97" s="36" t="n">
        <f aca="false">F97*G97</f>
        <v>20</v>
      </c>
      <c r="I97" s="36" t="n">
        <f aca="false">INDEX(Inventory!$D$2:$D$17,MATCH(C97,Inventory!$A$2:$A$17,0))</f>
        <v>1.6</v>
      </c>
      <c r="J97" s="36" t="n">
        <f aca="false">F97*I97</f>
        <v>12.8</v>
      </c>
      <c r="K97" s="36" t="n">
        <f aca="false">H97-J97</f>
        <v>7.2</v>
      </c>
    </row>
    <row r="98" customFormat="false" ht="15" hidden="false" customHeight="false" outlineLevel="0" collapsed="false">
      <c r="A98" s="41" t="n">
        <v>46210</v>
      </c>
      <c r="B98" s="42" t="n">
        <f aca="false">DATE(YEAR(A98),MONTH(A98),1)</f>
        <v>46204</v>
      </c>
      <c r="C98" s="3" t="s">
        <v>39</v>
      </c>
      <c r="D98" s="3" t="s">
        <v>40</v>
      </c>
      <c r="E98" s="3" t="s">
        <v>27</v>
      </c>
      <c r="F98" s="3" t="n">
        <v>34</v>
      </c>
      <c r="G98" s="36" t="n">
        <v>1</v>
      </c>
      <c r="H98" s="36" t="n">
        <f aca="false">F98*G98</f>
        <v>34</v>
      </c>
      <c r="I98" s="36" t="n">
        <f aca="false">INDEX(Inventory!$D$2:$D$17,MATCH(C98,Inventory!$A$2:$A$17,0))</f>
        <v>0.6</v>
      </c>
      <c r="J98" s="36" t="n">
        <f aca="false">F98*I98</f>
        <v>20.4</v>
      </c>
      <c r="K98" s="36" t="n">
        <f aca="false">H98-J98</f>
        <v>13.6</v>
      </c>
    </row>
    <row r="99" customFormat="false" ht="15" hidden="false" customHeight="false" outlineLevel="0" collapsed="false">
      <c r="A99" s="41" t="n">
        <v>46210</v>
      </c>
      <c r="B99" s="42" t="n">
        <f aca="false">DATE(YEAR(A99),MONTH(A99),1)</f>
        <v>46204</v>
      </c>
      <c r="C99" s="3" t="s">
        <v>53</v>
      </c>
      <c r="D99" s="3" t="s">
        <v>54</v>
      </c>
      <c r="E99" s="3" t="s">
        <v>27</v>
      </c>
      <c r="F99" s="3" t="n">
        <v>18</v>
      </c>
      <c r="G99" s="36" t="n">
        <v>0.95</v>
      </c>
      <c r="H99" s="36" t="n">
        <f aca="false">F99*G99</f>
        <v>17.1</v>
      </c>
      <c r="I99" s="36" t="n">
        <f aca="false">INDEX(Inventory!$D$2:$D$17,MATCH(C99,Inventory!$A$2:$A$17,0))</f>
        <v>0.55</v>
      </c>
      <c r="J99" s="36" t="n">
        <f aca="false">F99*I99</f>
        <v>9.9</v>
      </c>
      <c r="K99" s="36" t="n">
        <f aca="false">H99-J99</f>
        <v>7.2</v>
      </c>
    </row>
    <row r="100" customFormat="false" ht="15" hidden="false" customHeight="false" outlineLevel="0" collapsed="false">
      <c r="A100" s="41" t="n">
        <v>46210</v>
      </c>
      <c r="B100" s="42" t="n">
        <f aca="false">DATE(YEAR(A100),MONTH(A100),1)</f>
        <v>46204</v>
      </c>
      <c r="C100" s="3" t="s">
        <v>59</v>
      </c>
      <c r="D100" s="3" t="s">
        <v>60</v>
      </c>
      <c r="E100" s="3" t="s">
        <v>27</v>
      </c>
      <c r="F100" s="3" t="n">
        <v>45</v>
      </c>
      <c r="G100" s="36" t="n">
        <v>0.6</v>
      </c>
      <c r="H100" s="36" t="n">
        <f aca="false">F100*G100</f>
        <v>27</v>
      </c>
      <c r="I100" s="36" t="n">
        <f aca="false">INDEX(Inventory!$D$2:$D$17,MATCH(C100,Inventory!$A$2:$A$17,0))</f>
        <v>0.3</v>
      </c>
      <c r="J100" s="36" t="n">
        <f aca="false">F100*I100</f>
        <v>13.5</v>
      </c>
      <c r="K100" s="36" t="n">
        <f aca="false">H100-J100</f>
        <v>13.5</v>
      </c>
    </row>
    <row r="101" customFormat="false" ht="15" hidden="false" customHeight="false" outlineLevel="0" collapsed="false">
      <c r="A101" s="41" t="n">
        <v>46210</v>
      </c>
      <c r="B101" s="42" t="n">
        <f aca="false">DATE(YEAR(A101),MONTH(A101),1)</f>
        <v>46204</v>
      </c>
      <c r="C101" s="3" t="s">
        <v>57</v>
      </c>
      <c r="D101" s="3" t="s">
        <v>58</v>
      </c>
      <c r="E101" s="3" t="s">
        <v>27</v>
      </c>
      <c r="F101" s="3" t="n">
        <v>11</v>
      </c>
      <c r="G101" s="36" t="n">
        <v>1.5</v>
      </c>
      <c r="H101" s="36" t="n">
        <f aca="false">F101*G101</f>
        <v>16.5</v>
      </c>
      <c r="I101" s="36" t="n">
        <f aca="false">INDEX(Inventory!$D$2:$D$17,MATCH(C101,Inventory!$A$2:$A$17,0))</f>
        <v>0.9</v>
      </c>
      <c r="J101" s="36" t="n">
        <f aca="false">F101*I101</f>
        <v>9.9</v>
      </c>
      <c r="K101" s="36" t="n">
        <f aca="false">H101-J101</f>
        <v>6.6</v>
      </c>
    </row>
    <row r="102" customFormat="false" ht="15" hidden="false" customHeight="false" outlineLevel="0" collapsed="false">
      <c r="A102" s="41" t="n">
        <v>46210</v>
      </c>
      <c r="B102" s="42" t="n">
        <f aca="false">DATE(YEAR(A102),MONTH(A102),1)</f>
        <v>46204</v>
      </c>
      <c r="C102" s="3" t="s">
        <v>41</v>
      </c>
      <c r="D102" s="3" t="s">
        <v>42</v>
      </c>
      <c r="E102" s="3" t="s">
        <v>28</v>
      </c>
      <c r="F102" s="3" t="n">
        <v>28</v>
      </c>
      <c r="G102" s="36" t="n">
        <v>1.3</v>
      </c>
      <c r="H102" s="36" t="n">
        <f aca="false">F102*G102</f>
        <v>36.4</v>
      </c>
      <c r="I102" s="36" t="n">
        <f aca="false">INDEX(Inventory!$D$2:$D$17,MATCH(C102,Inventory!$A$2:$A$17,0))</f>
        <v>0.8</v>
      </c>
      <c r="J102" s="36" t="n">
        <f aca="false">F102*I102</f>
        <v>22.4</v>
      </c>
      <c r="K102" s="36" t="n">
        <f aca="false">H102-J102</f>
        <v>14</v>
      </c>
    </row>
    <row r="103" customFormat="false" ht="15" hidden="false" customHeight="false" outlineLevel="0" collapsed="false">
      <c r="A103" s="41" t="n">
        <v>46210</v>
      </c>
      <c r="B103" s="42" t="n">
        <f aca="false">DATE(YEAR(A103),MONTH(A103),1)</f>
        <v>46204</v>
      </c>
      <c r="C103" s="3" t="s">
        <v>63</v>
      </c>
      <c r="D103" s="3" t="s">
        <v>64</v>
      </c>
      <c r="E103" s="3" t="s">
        <v>28</v>
      </c>
      <c r="F103" s="3" t="n">
        <v>14</v>
      </c>
      <c r="G103" s="36" t="n">
        <v>0.9</v>
      </c>
      <c r="H103" s="36" t="n">
        <f aca="false">F103*G103</f>
        <v>12.6</v>
      </c>
      <c r="I103" s="36" t="n">
        <f aca="false">INDEX(Inventory!$D$2:$D$17,MATCH(C103,Inventory!$A$2:$A$17,0))</f>
        <v>0.5</v>
      </c>
      <c r="J103" s="36" t="n">
        <f aca="false">F103*I103</f>
        <v>7</v>
      </c>
      <c r="K103" s="36" t="n">
        <f aca="false">H103-J103</f>
        <v>5.6</v>
      </c>
    </row>
    <row r="104" customFormat="false" ht="15" hidden="false" customHeight="false" outlineLevel="0" collapsed="false">
      <c r="A104" s="41" t="n">
        <v>46210</v>
      </c>
      <c r="B104" s="42" t="n">
        <f aca="false">DATE(YEAR(A104),MONTH(A104),1)</f>
        <v>46204</v>
      </c>
      <c r="C104" s="3" t="s">
        <v>49</v>
      </c>
      <c r="D104" s="3" t="s">
        <v>50</v>
      </c>
      <c r="E104" s="3" t="s">
        <v>28</v>
      </c>
      <c r="F104" s="3" t="n">
        <v>14</v>
      </c>
      <c r="G104" s="36" t="n">
        <v>1.2</v>
      </c>
      <c r="H104" s="36" t="n">
        <f aca="false">F104*G104</f>
        <v>16.8</v>
      </c>
      <c r="I104" s="36" t="n">
        <f aca="false">INDEX(Inventory!$D$2:$D$17,MATCH(C104,Inventory!$A$2:$A$17,0))</f>
        <v>0.7</v>
      </c>
      <c r="J104" s="36" t="n">
        <f aca="false">F104*I104</f>
        <v>9.8</v>
      </c>
      <c r="K104" s="36" t="n">
        <f aca="false">H104-J104</f>
        <v>7</v>
      </c>
    </row>
    <row r="105" customFormat="false" ht="15" hidden="false" customHeight="false" outlineLevel="0" collapsed="false">
      <c r="A105" s="41" t="n">
        <v>46210</v>
      </c>
      <c r="B105" s="42" t="n">
        <f aca="false">DATE(YEAR(A105),MONTH(A105),1)</f>
        <v>46204</v>
      </c>
      <c r="C105" s="3" t="s">
        <v>51</v>
      </c>
      <c r="D105" s="3" t="s">
        <v>52</v>
      </c>
      <c r="E105" s="3" t="s">
        <v>28</v>
      </c>
      <c r="F105" s="3" t="n">
        <v>16</v>
      </c>
      <c r="G105" s="36" t="n">
        <v>0.85</v>
      </c>
      <c r="H105" s="36" t="n">
        <f aca="false">F105*G105</f>
        <v>13.6</v>
      </c>
      <c r="I105" s="36" t="n">
        <f aca="false">INDEX(Inventory!$D$2:$D$17,MATCH(C105,Inventory!$A$2:$A$17,0))</f>
        <v>0.45</v>
      </c>
      <c r="J105" s="36" t="n">
        <f aca="false">F105*I105</f>
        <v>7.2</v>
      </c>
      <c r="K105" s="36" t="n">
        <f aca="false">H105-J105</f>
        <v>6.4</v>
      </c>
    </row>
    <row r="106" customFormat="false" ht="15" hidden="false" customHeight="false" outlineLevel="0" collapsed="false">
      <c r="A106" s="41" t="n">
        <v>46210</v>
      </c>
      <c r="B106" s="42" t="n">
        <f aca="false">DATE(YEAR(A106),MONTH(A106),1)</f>
        <v>46204</v>
      </c>
      <c r="C106" s="3" t="s">
        <v>37</v>
      </c>
      <c r="D106" s="3" t="s">
        <v>38</v>
      </c>
      <c r="E106" s="3" t="s">
        <v>26</v>
      </c>
      <c r="F106" s="3" t="n">
        <v>23</v>
      </c>
      <c r="G106" s="36" t="n">
        <v>1.2</v>
      </c>
      <c r="H106" s="36" t="n">
        <f aca="false">F106*G106</f>
        <v>27.6</v>
      </c>
      <c r="I106" s="36" t="n">
        <f aca="false">INDEX(Inventory!$D$2:$D$17,MATCH(C106,Inventory!$A$2:$A$17,0))</f>
        <v>0.85</v>
      </c>
      <c r="J106" s="36" t="n">
        <f aca="false">F106*I106</f>
        <v>19.55</v>
      </c>
      <c r="K106" s="36" t="n">
        <f aca="false">H106-J106</f>
        <v>8.05</v>
      </c>
    </row>
    <row r="107" customFormat="false" ht="15" hidden="false" customHeight="false" outlineLevel="0" collapsed="false">
      <c r="A107" s="41" t="n">
        <v>46210</v>
      </c>
      <c r="B107" s="42" t="n">
        <f aca="false">DATE(YEAR(A107),MONTH(A107),1)</f>
        <v>46204</v>
      </c>
      <c r="C107" s="3" t="s">
        <v>47</v>
      </c>
      <c r="D107" s="3" t="s">
        <v>48</v>
      </c>
      <c r="E107" s="3" t="s">
        <v>26</v>
      </c>
      <c r="F107" s="3" t="n">
        <v>14</v>
      </c>
      <c r="G107" s="36" t="n">
        <v>2.2</v>
      </c>
      <c r="H107" s="36" t="n">
        <f aca="false">F107*G107</f>
        <v>30.8</v>
      </c>
      <c r="I107" s="36" t="n">
        <f aca="false">INDEX(Inventory!$D$2:$D$17,MATCH(C107,Inventory!$A$2:$A$17,0))</f>
        <v>1.4</v>
      </c>
      <c r="J107" s="36" t="n">
        <f aca="false">F107*I107</f>
        <v>19.6</v>
      </c>
      <c r="K107" s="36" t="n">
        <f aca="false">H107-J107</f>
        <v>11.2</v>
      </c>
    </row>
    <row r="108" customFormat="false" ht="15" hidden="false" customHeight="false" outlineLevel="0" collapsed="false">
      <c r="A108" s="41" t="n">
        <v>46210</v>
      </c>
      <c r="B108" s="42" t="n">
        <f aca="false">DATE(YEAR(A108),MONTH(A108),1)</f>
        <v>46204</v>
      </c>
      <c r="C108" s="3" t="s">
        <v>43</v>
      </c>
      <c r="D108" s="3" t="s">
        <v>44</v>
      </c>
      <c r="E108" s="3" t="s">
        <v>26</v>
      </c>
      <c r="F108" s="3" t="n">
        <v>8</v>
      </c>
      <c r="G108" s="36" t="n">
        <v>3.8</v>
      </c>
      <c r="H108" s="36" t="n">
        <f aca="false">F108*G108</f>
        <v>30.4</v>
      </c>
      <c r="I108" s="36" t="n">
        <f aca="false">INDEX(Inventory!$D$2:$D$17,MATCH(C108,Inventory!$A$2:$A$17,0))</f>
        <v>2.6</v>
      </c>
      <c r="J108" s="36" t="n">
        <f aca="false">F108*I108</f>
        <v>20.8</v>
      </c>
      <c r="K108" s="36" t="n">
        <f aca="false">H108-J108</f>
        <v>9.6</v>
      </c>
    </row>
    <row r="109" customFormat="false" ht="15" hidden="false" customHeight="false" outlineLevel="0" collapsed="false">
      <c r="A109" s="41" t="n">
        <v>46210</v>
      </c>
      <c r="B109" s="42" t="n">
        <f aca="false">DATE(YEAR(A109),MONTH(A109),1)</f>
        <v>46204</v>
      </c>
      <c r="C109" s="3" t="s">
        <v>67</v>
      </c>
      <c r="D109" s="3" t="s">
        <v>68</v>
      </c>
      <c r="E109" s="3" t="s">
        <v>26</v>
      </c>
      <c r="F109" s="3" t="n">
        <v>7</v>
      </c>
      <c r="G109" s="36" t="n">
        <v>1.9</v>
      </c>
      <c r="H109" s="36" t="n">
        <f aca="false">F109*G109</f>
        <v>13.3</v>
      </c>
      <c r="I109" s="36" t="n">
        <f aca="false">INDEX(Inventory!$D$2:$D$17,MATCH(C109,Inventory!$A$2:$A$17,0))</f>
        <v>1.3</v>
      </c>
      <c r="J109" s="36" t="n">
        <f aca="false">F109*I109</f>
        <v>9.1</v>
      </c>
      <c r="K109" s="36" t="n">
        <f aca="false">H109-J109</f>
        <v>4.2</v>
      </c>
    </row>
    <row r="110" customFormat="false" ht="15" hidden="false" customHeight="false" outlineLevel="0" collapsed="false">
      <c r="A110" s="41" t="n">
        <v>46210</v>
      </c>
      <c r="B110" s="42" t="n">
        <f aca="false">DATE(YEAR(A110),MONTH(A110),1)</f>
        <v>46204</v>
      </c>
      <c r="C110" s="3" t="s">
        <v>61</v>
      </c>
      <c r="D110" s="3" t="s">
        <v>62</v>
      </c>
      <c r="E110" s="3" t="s">
        <v>29</v>
      </c>
      <c r="F110" s="3" t="n">
        <v>4</v>
      </c>
      <c r="G110" s="36" t="n">
        <v>1.9</v>
      </c>
      <c r="H110" s="36" t="n">
        <f aca="false">F110*G110</f>
        <v>7.6</v>
      </c>
      <c r="I110" s="36" t="n">
        <f aca="false">INDEX(Inventory!$D$2:$D$17,MATCH(C110,Inventory!$A$2:$A$17,0))</f>
        <v>1.1</v>
      </c>
      <c r="J110" s="36" t="n">
        <f aca="false">F110*I110</f>
        <v>4.4</v>
      </c>
      <c r="K110" s="36" t="n">
        <f aca="false">H110-J110</f>
        <v>3.2</v>
      </c>
    </row>
    <row r="111" customFormat="false" ht="15" hidden="false" customHeight="false" outlineLevel="0" collapsed="false">
      <c r="A111" s="41" t="n">
        <v>46210</v>
      </c>
      <c r="B111" s="42" t="n">
        <f aca="false">DATE(YEAR(A111),MONTH(A111),1)</f>
        <v>46204</v>
      </c>
      <c r="C111" s="3" t="s">
        <v>45</v>
      </c>
      <c r="D111" s="3" t="s">
        <v>46</v>
      </c>
      <c r="E111" s="3" t="s">
        <v>29</v>
      </c>
      <c r="F111" s="3" t="n">
        <v>6</v>
      </c>
      <c r="G111" s="36" t="n">
        <v>5.2</v>
      </c>
      <c r="H111" s="36" t="n">
        <f aca="false">F111*G111</f>
        <v>31.2</v>
      </c>
      <c r="I111" s="36" t="n">
        <f aca="false">INDEX(Inventory!$D$2:$D$17,MATCH(C111,Inventory!$A$2:$A$17,0))</f>
        <v>3.5</v>
      </c>
      <c r="J111" s="36" t="n">
        <f aca="false">F111*I111</f>
        <v>21</v>
      </c>
      <c r="K111" s="36" t="n">
        <f aca="false">H111-J111</f>
        <v>10.2</v>
      </c>
    </row>
    <row r="112" customFormat="false" ht="15" hidden="false" customHeight="false" outlineLevel="0" collapsed="false">
      <c r="A112" s="41" t="n">
        <v>46210</v>
      </c>
      <c r="B112" s="42" t="n">
        <f aca="false">DATE(YEAR(A112),MONTH(A112),1)</f>
        <v>46204</v>
      </c>
      <c r="C112" s="3" t="s">
        <v>65</v>
      </c>
      <c r="D112" s="3" t="s">
        <v>66</v>
      </c>
      <c r="E112" s="3" t="s">
        <v>29</v>
      </c>
      <c r="F112" s="3" t="n">
        <v>9</v>
      </c>
      <c r="G112" s="36" t="n">
        <v>1.5</v>
      </c>
      <c r="H112" s="36" t="n">
        <f aca="false">F112*G112</f>
        <v>13.5</v>
      </c>
      <c r="I112" s="36" t="n">
        <f aca="false">INDEX(Inventory!$D$2:$D$17,MATCH(C112,Inventory!$A$2:$A$17,0))</f>
        <v>0.9</v>
      </c>
      <c r="J112" s="36" t="n">
        <f aca="false">F112*I112</f>
        <v>8.1</v>
      </c>
      <c r="K112" s="36" t="n">
        <f aca="false">H112-J112</f>
        <v>5.4</v>
      </c>
    </row>
    <row r="113" customFormat="false" ht="15" hidden="false" customHeight="false" outlineLevel="0" collapsed="false">
      <c r="A113" s="41" t="n">
        <v>46210</v>
      </c>
      <c r="B113" s="42" t="n">
        <f aca="false">DATE(YEAR(A113),MONTH(A113),1)</f>
        <v>46204</v>
      </c>
      <c r="C113" s="3" t="s">
        <v>55</v>
      </c>
      <c r="D113" s="3" t="s">
        <v>56</v>
      </c>
      <c r="E113" s="3" t="s">
        <v>29</v>
      </c>
      <c r="F113" s="3" t="n">
        <v>6</v>
      </c>
      <c r="G113" s="36" t="n">
        <v>2.5</v>
      </c>
      <c r="H113" s="36" t="n">
        <f aca="false">F113*G113</f>
        <v>15</v>
      </c>
      <c r="I113" s="36" t="n">
        <f aca="false">INDEX(Inventory!$D$2:$D$17,MATCH(C113,Inventory!$A$2:$A$17,0))</f>
        <v>1.6</v>
      </c>
      <c r="J113" s="36" t="n">
        <f aca="false">F113*I113</f>
        <v>9.6</v>
      </c>
      <c r="K113" s="36" t="n">
        <f aca="false">H113-J113</f>
        <v>5.4</v>
      </c>
    </row>
    <row r="114" customFormat="false" ht="15" hidden="false" customHeight="false" outlineLevel="0" collapsed="false">
      <c r="A114" s="41" t="n">
        <v>46211</v>
      </c>
      <c r="B114" s="42" t="n">
        <f aca="false">DATE(YEAR(A114),MONTH(A114),1)</f>
        <v>46204</v>
      </c>
      <c r="C114" s="3" t="s">
        <v>39</v>
      </c>
      <c r="D114" s="3" t="s">
        <v>40</v>
      </c>
      <c r="E114" s="3" t="s">
        <v>27</v>
      </c>
      <c r="F114" s="3" t="n">
        <v>22</v>
      </c>
      <c r="G114" s="36" t="n">
        <v>1</v>
      </c>
      <c r="H114" s="36" t="n">
        <f aca="false">F114*G114</f>
        <v>22</v>
      </c>
      <c r="I114" s="36" t="n">
        <f aca="false">INDEX(Inventory!$D$2:$D$17,MATCH(C114,Inventory!$A$2:$A$17,0))</f>
        <v>0.6</v>
      </c>
      <c r="J114" s="36" t="n">
        <f aca="false">F114*I114</f>
        <v>13.2</v>
      </c>
      <c r="K114" s="36" t="n">
        <f aca="false">H114-J114</f>
        <v>8.8</v>
      </c>
    </row>
    <row r="115" customFormat="false" ht="15" hidden="false" customHeight="false" outlineLevel="0" collapsed="false">
      <c r="A115" s="41" t="n">
        <v>46211</v>
      </c>
      <c r="B115" s="42" t="n">
        <f aca="false">DATE(YEAR(A115),MONTH(A115),1)</f>
        <v>46204</v>
      </c>
      <c r="C115" s="3" t="s">
        <v>53</v>
      </c>
      <c r="D115" s="3" t="s">
        <v>54</v>
      </c>
      <c r="E115" s="3" t="s">
        <v>27</v>
      </c>
      <c r="F115" s="3" t="n">
        <v>18</v>
      </c>
      <c r="G115" s="36" t="n">
        <v>0.95</v>
      </c>
      <c r="H115" s="36" t="n">
        <f aca="false">F115*G115</f>
        <v>17.1</v>
      </c>
      <c r="I115" s="36" t="n">
        <f aca="false">INDEX(Inventory!$D$2:$D$17,MATCH(C115,Inventory!$A$2:$A$17,0))</f>
        <v>0.55</v>
      </c>
      <c r="J115" s="36" t="n">
        <f aca="false">F115*I115</f>
        <v>9.9</v>
      </c>
      <c r="K115" s="36" t="n">
        <f aca="false">H115-J115</f>
        <v>7.2</v>
      </c>
    </row>
    <row r="116" customFormat="false" ht="15" hidden="false" customHeight="false" outlineLevel="0" collapsed="false">
      <c r="A116" s="41" t="n">
        <v>46211</v>
      </c>
      <c r="B116" s="42" t="n">
        <f aca="false">DATE(YEAR(A116),MONTH(A116),1)</f>
        <v>46204</v>
      </c>
      <c r="C116" s="3" t="s">
        <v>59</v>
      </c>
      <c r="D116" s="3" t="s">
        <v>60</v>
      </c>
      <c r="E116" s="3" t="s">
        <v>27</v>
      </c>
      <c r="F116" s="3" t="n">
        <v>43</v>
      </c>
      <c r="G116" s="36" t="n">
        <v>0.6</v>
      </c>
      <c r="H116" s="36" t="n">
        <f aca="false">F116*G116</f>
        <v>25.8</v>
      </c>
      <c r="I116" s="36" t="n">
        <f aca="false">INDEX(Inventory!$D$2:$D$17,MATCH(C116,Inventory!$A$2:$A$17,0))</f>
        <v>0.3</v>
      </c>
      <c r="J116" s="36" t="n">
        <f aca="false">F116*I116</f>
        <v>12.9</v>
      </c>
      <c r="K116" s="36" t="n">
        <f aca="false">H116-J116</f>
        <v>12.9</v>
      </c>
    </row>
    <row r="117" customFormat="false" ht="15" hidden="false" customHeight="false" outlineLevel="0" collapsed="false">
      <c r="A117" s="41" t="n">
        <v>46211</v>
      </c>
      <c r="B117" s="42" t="n">
        <f aca="false">DATE(YEAR(A117),MONTH(A117),1)</f>
        <v>46204</v>
      </c>
      <c r="C117" s="3" t="s">
        <v>57</v>
      </c>
      <c r="D117" s="3" t="s">
        <v>58</v>
      </c>
      <c r="E117" s="3" t="s">
        <v>27</v>
      </c>
      <c r="F117" s="3" t="n">
        <v>9</v>
      </c>
      <c r="G117" s="36" t="n">
        <v>1.5</v>
      </c>
      <c r="H117" s="36" t="n">
        <f aca="false">F117*G117</f>
        <v>13.5</v>
      </c>
      <c r="I117" s="36" t="n">
        <f aca="false">INDEX(Inventory!$D$2:$D$17,MATCH(C117,Inventory!$A$2:$A$17,0))</f>
        <v>0.9</v>
      </c>
      <c r="J117" s="36" t="n">
        <f aca="false">F117*I117</f>
        <v>8.1</v>
      </c>
      <c r="K117" s="36" t="n">
        <f aca="false">H117-J117</f>
        <v>5.4</v>
      </c>
    </row>
    <row r="118" customFormat="false" ht="15" hidden="false" customHeight="false" outlineLevel="0" collapsed="false">
      <c r="A118" s="41" t="n">
        <v>46211</v>
      </c>
      <c r="B118" s="42" t="n">
        <f aca="false">DATE(YEAR(A118),MONTH(A118),1)</f>
        <v>46204</v>
      </c>
      <c r="C118" s="3" t="s">
        <v>41</v>
      </c>
      <c r="D118" s="3" t="s">
        <v>42</v>
      </c>
      <c r="E118" s="3" t="s">
        <v>28</v>
      </c>
      <c r="F118" s="3" t="n">
        <v>18</v>
      </c>
      <c r="G118" s="36" t="n">
        <v>1.3</v>
      </c>
      <c r="H118" s="36" t="n">
        <f aca="false">F118*G118</f>
        <v>23.4</v>
      </c>
      <c r="I118" s="36" t="n">
        <f aca="false">INDEX(Inventory!$D$2:$D$17,MATCH(C118,Inventory!$A$2:$A$17,0))</f>
        <v>0.8</v>
      </c>
      <c r="J118" s="36" t="n">
        <f aca="false">F118*I118</f>
        <v>14.4</v>
      </c>
      <c r="K118" s="36" t="n">
        <f aca="false">H118-J118</f>
        <v>9</v>
      </c>
    </row>
    <row r="119" customFormat="false" ht="15" hidden="false" customHeight="false" outlineLevel="0" collapsed="false">
      <c r="A119" s="41" t="n">
        <v>46211</v>
      </c>
      <c r="B119" s="42" t="n">
        <f aca="false">DATE(YEAR(A119),MONTH(A119),1)</f>
        <v>46204</v>
      </c>
      <c r="C119" s="3" t="s">
        <v>63</v>
      </c>
      <c r="D119" s="3" t="s">
        <v>64</v>
      </c>
      <c r="E119" s="3" t="s">
        <v>28</v>
      </c>
      <c r="F119" s="3" t="n">
        <v>19</v>
      </c>
      <c r="G119" s="36" t="n">
        <v>0.9</v>
      </c>
      <c r="H119" s="36" t="n">
        <f aca="false">F119*G119</f>
        <v>17.1</v>
      </c>
      <c r="I119" s="36" t="n">
        <f aca="false">INDEX(Inventory!$D$2:$D$17,MATCH(C119,Inventory!$A$2:$A$17,0))</f>
        <v>0.5</v>
      </c>
      <c r="J119" s="36" t="n">
        <f aca="false">F119*I119</f>
        <v>9.5</v>
      </c>
      <c r="K119" s="36" t="n">
        <f aca="false">H119-J119</f>
        <v>7.6</v>
      </c>
    </row>
    <row r="120" customFormat="false" ht="15" hidden="false" customHeight="false" outlineLevel="0" collapsed="false">
      <c r="A120" s="41" t="n">
        <v>46211</v>
      </c>
      <c r="B120" s="42" t="n">
        <f aca="false">DATE(YEAR(A120),MONTH(A120),1)</f>
        <v>46204</v>
      </c>
      <c r="C120" s="3" t="s">
        <v>49</v>
      </c>
      <c r="D120" s="3" t="s">
        <v>50</v>
      </c>
      <c r="E120" s="3" t="s">
        <v>28</v>
      </c>
      <c r="F120" s="3" t="n">
        <v>14</v>
      </c>
      <c r="G120" s="36" t="n">
        <v>1.2</v>
      </c>
      <c r="H120" s="36" t="n">
        <f aca="false">F120*G120</f>
        <v>16.8</v>
      </c>
      <c r="I120" s="36" t="n">
        <f aca="false">INDEX(Inventory!$D$2:$D$17,MATCH(C120,Inventory!$A$2:$A$17,0))</f>
        <v>0.7</v>
      </c>
      <c r="J120" s="36" t="n">
        <f aca="false">F120*I120</f>
        <v>9.8</v>
      </c>
      <c r="K120" s="36" t="n">
        <f aca="false">H120-J120</f>
        <v>7</v>
      </c>
    </row>
    <row r="121" customFormat="false" ht="15" hidden="false" customHeight="false" outlineLevel="0" collapsed="false">
      <c r="A121" s="41" t="n">
        <v>46211</v>
      </c>
      <c r="B121" s="42" t="n">
        <f aca="false">DATE(YEAR(A121),MONTH(A121),1)</f>
        <v>46204</v>
      </c>
      <c r="C121" s="3" t="s">
        <v>51</v>
      </c>
      <c r="D121" s="3" t="s">
        <v>52</v>
      </c>
      <c r="E121" s="3" t="s">
        <v>28</v>
      </c>
      <c r="F121" s="3" t="n">
        <v>20</v>
      </c>
      <c r="G121" s="36" t="n">
        <v>0.85</v>
      </c>
      <c r="H121" s="36" t="n">
        <f aca="false">F121*G121</f>
        <v>17</v>
      </c>
      <c r="I121" s="36" t="n">
        <f aca="false">INDEX(Inventory!$D$2:$D$17,MATCH(C121,Inventory!$A$2:$A$17,0))</f>
        <v>0.45</v>
      </c>
      <c r="J121" s="36" t="n">
        <f aca="false">F121*I121</f>
        <v>9</v>
      </c>
      <c r="K121" s="36" t="n">
        <f aca="false">H121-J121</f>
        <v>8</v>
      </c>
    </row>
    <row r="122" customFormat="false" ht="15" hidden="false" customHeight="false" outlineLevel="0" collapsed="false">
      <c r="A122" s="41" t="n">
        <v>46211</v>
      </c>
      <c r="B122" s="42" t="n">
        <f aca="false">DATE(YEAR(A122),MONTH(A122),1)</f>
        <v>46204</v>
      </c>
      <c r="C122" s="3" t="s">
        <v>37</v>
      </c>
      <c r="D122" s="3" t="s">
        <v>38</v>
      </c>
      <c r="E122" s="3" t="s">
        <v>26</v>
      </c>
      <c r="F122" s="3" t="n">
        <v>25</v>
      </c>
      <c r="G122" s="36" t="n">
        <v>1.2</v>
      </c>
      <c r="H122" s="36" t="n">
        <f aca="false">F122*G122</f>
        <v>30</v>
      </c>
      <c r="I122" s="36" t="n">
        <f aca="false">INDEX(Inventory!$D$2:$D$17,MATCH(C122,Inventory!$A$2:$A$17,0))</f>
        <v>0.85</v>
      </c>
      <c r="J122" s="36" t="n">
        <f aca="false">F122*I122</f>
        <v>21.25</v>
      </c>
      <c r="K122" s="36" t="n">
        <f aca="false">H122-J122</f>
        <v>8.75</v>
      </c>
    </row>
    <row r="123" customFormat="false" ht="15" hidden="false" customHeight="false" outlineLevel="0" collapsed="false">
      <c r="A123" s="41" t="n">
        <v>46211</v>
      </c>
      <c r="B123" s="42" t="n">
        <f aca="false">DATE(YEAR(A123),MONTH(A123),1)</f>
        <v>46204</v>
      </c>
      <c r="C123" s="3" t="s">
        <v>47</v>
      </c>
      <c r="D123" s="3" t="s">
        <v>48</v>
      </c>
      <c r="E123" s="3" t="s">
        <v>26</v>
      </c>
      <c r="F123" s="3" t="n">
        <v>7</v>
      </c>
      <c r="G123" s="36" t="n">
        <v>2.2</v>
      </c>
      <c r="H123" s="36" t="n">
        <f aca="false">F123*G123</f>
        <v>15.4</v>
      </c>
      <c r="I123" s="36" t="n">
        <f aca="false">INDEX(Inventory!$D$2:$D$17,MATCH(C123,Inventory!$A$2:$A$17,0))</f>
        <v>1.4</v>
      </c>
      <c r="J123" s="36" t="n">
        <f aca="false">F123*I123</f>
        <v>9.8</v>
      </c>
      <c r="K123" s="36" t="n">
        <f aca="false">H123-J123</f>
        <v>5.6</v>
      </c>
    </row>
    <row r="124" customFormat="false" ht="15" hidden="false" customHeight="false" outlineLevel="0" collapsed="false">
      <c r="A124" s="41" t="n">
        <v>46211</v>
      </c>
      <c r="B124" s="42" t="n">
        <f aca="false">DATE(YEAR(A124),MONTH(A124),1)</f>
        <v>46204</v>
      </c>
      <c r="C124" s="3" t="s">
        <v>43</v>
      </c>
      <c r="D124" s="3" t="s">
        <v>44</v>
      </c>
      <c r="E124" s="3" t="s">
        <v>26</v>
      </c>
      <c r="F124" s="3" t="n">
        <v>7</v>
      </c>
      <c r="G124" s="36" t="n">
        <v>3.8</v>
      </c>
      <c r="H124" s="36" t="n">
        <f aca="false">F124*G124</f>
        <v>26.6</v>
      </c>
      <c r="I124" s="36" t="n">
        <f aca="false">INDEX(Inventory!$D$2:$D$17,MATCH(C124,Inventory!$A$2:$A$17,0))</f>
        <v>2.6</v>
      </c>
      <c r="J124" s="36" t="n">
        <f aca="false">F124*I124</f>
        <v>18.2</v>
      </c>
      <c r="K124" s="36" t="n">
        <f aca="false">H124-J124</f>
        <v>8.4</v>
      </c>
    </row>
    <row r="125" customFormat="false" ht="15" hidden="false" customHeight="false" outlineLevel="0" collapsed="false">
      <c r="A125" s="41" t="n">
        <v>46211</v>
      </c>
      <c r="B125" s="42" t="n">
        <f aca="false">DATE(YEAR(A125),MONTH(A125),1)</f>
        <v>46204</v>
      </c>
      <c r="C125" s="3" t="s">
        <v>67</v>
      </c>
      <c r="D125" s="3" t="s">
        <v>68</v>
      </c>
      <c r="E125" s="3" t="s">
        <v>26</v>
      </c>
      <c r="F125" s="3" t="n">
        <v>4</v>
      </c>
      <c r="G125" s="36" t="n">
        <v>1.9</v>
      </c>
      <c r="H125" s="36" t="n">
        <f aca="false">F125*G125</f>
        <v>7.6</v>
      </c>
      <c r="I125" s="36" t="n">
        <f aca="false">INDEX(Inventory!$D$2:$D$17,MATCH(C125,Inventory!$A$2:$A$17,0))</f>
        <v>1.3</v>
      </c>
      <c r="J125" s="36" t="n">
        <f aca="false">F125*I125</f>
        <v>5.2</v>
      </c>
      <c r="K125" s="36" t="n">
        <f aca="false">H125-J125</f>
        <v>2.4</v>
      </c>
    </row>
    <row r="126" customFormat="false" ht="15" hidden="false" customHeight="false" outlineLevel="0" collapsed="false">
      <c r="A126" s="41" t="n">
        <v>46211</v>
      </c>
      <c r="B126" s="42" t="n">
        <f aca="false">DATE(YEAR(A126),MONTH(A126),1)</f>
        <v>46204</v>
      </c>
      <c r="C126" s="3" t="s">
        <v>61</v>
      </c>
      <c r="D126" s="3" t="s">
        <v>62</v>
      </c>
      <c r="E126" s="3" t="s">
        <v>29</v>
      </c>
      <c r="F126" s="3" t="n">
        <v>11</v>
      </c>
      <c r="G126" s="36" t="n">
        <v>1.9</v>
      </c>
      <c r="H126" s="36" t="n">
        <f aca="false">F126*G126</f>
        <v>20.9</v>
      </c>
      <c r="I126" s="36" t="n">
        <f aca="false">INDEX(Inventory!$D$2:$D$17,MATCH(C126,Inventory!$A$2:$A$17,0))</f>
        <v>1.1</v>
      </c>
      <c r="J126" s="36" t="n">
        <f aca="false">F126*I126</f>
        <v>12.1</v>
      </c>
      <c r="K126" s="36" t="n">
        <f aca="false">H126-J126</f>
        <v>8.8</v>
      </c>
    </row>
    <row r="127" customFormat="false" ht="15" hidden="false" customHeight="false" outlineLevel="0" collapsed="false">
      <c r="A127" s="41" t="n">
        <v>46211</v>
      </c>
      <c r="B127" s="42" t="n">
        <f aca="false">DATE(YEAR(A127),MONTH(A127),1)</f>
        <v>46204</v>
      </c>
      <c r="C127" s="3" t="s">
        <v>45</v>
      </c>
      <c r="D127" s="3" t="s">
        <v>46</v>
      </c>
      <c r="E127" s="3" t="s">
        <v>29</v>
      </c>
      <c r="F127" s="3" t="n">
        <v>5</v>
      </c>
      <c r="G127" s="36" t="n">
        <v>5.2</v>
      </c>
      <c r="H127" s="36" t="n">
        <f aca="false">F127*G127</f>
        <v>26</v>
      </c>
      <c r="I127" s="36" t="n">
        <f aca="false">INDEX(Inventory!$D$2:$D$17,MATCH(C127,Inventory!$A$2:$A$17,0))</f>
        <v>3.5</v>
      </c>
      <c r="J127" s="36" t="n">
        <f aca="false">F127*I127</f>
        <v>17.5</v>
      </c>
      <c r="K127" s="36" t="n">
        <f aca="false">H127-J127</f>
        <v>8.5</v>
      </c>
    </row>
    <row r="128" customFormat="false" ht="15" hidden="false" customHeight="false" outlineLevel="0" collapsed="false">
      <c r="A128" s="41" t="n">
        <v>46211</v>
      </c>
      <c r="B128" s="42" t="n">
        <f aca="false">DATE(YEAR(A128),MONTH(A128),1)</f>
        <v>46204</v>
      </c>
      <c r="C128" s="3" t="s">
        <v>65</v>
      </c>
      <c r="D128" s="3" t="s">
        <v>66</v>
      </c>
      <c r="E128" s="3" t="s">
        <v>29</v>
      </c>
      <c r="F128" s="3" t="n">
        <v>13</v>
      </c>
      <c r="G128" s="36" t="n">
        <v>1.5</v>
      </c>
      <c r="H128" s="36" t="n">
        <f aca="false">F128*G128</f>
        <v>19.5</v>
      </c>
      <c r="I128" s="36" t="n">
        <f aca="false">INDEX(Inventory!$D$2:$D$17,MATCH(C128,Inventory!$A$2:$A$17,0))</f>
        <v>0.9</v>
      </c>
      <c r="J128" s="36" t="n">
        <f aca="false">F128*I128</f>
        <v>11.7</v>
      </c>
      <c r="K128" s="36" t="n">
        <f aca="false">H128-J128</f>
        <v>7.8</v>
      </c>
    </row>
    <row r="129" customFormat="false" ht="15" hidden="false" customHeight="false" outlineLevel="0" collapsed="false">
      <c r="A129" s="41" t="n">
        <v>46211</v>
      </c>
      <c r="B129" s="42" t="n">
        <f aca="false">DATE(YEAR(A129),MONTH(A129),1)</f>
        <v>46204</v>
      </c>
      <c r="C129" s="3" t="s">
        <v>55</v>
      </c>
      <c r="D129" s="3" t="s">
        <v>56</v>
      </c>
      <c r="E129" s="3" t="s">
        <v>29</v>
      </c>
      <c r="F129" s="3" t="n">
        <v>7</v>
      </c>
      <c r="G129" s="36" t="n">
        <v>2.5</v>
      </c>
      <c r="H129" s="36" t="n">
        <f aca="false">F129*G129</f>
        <v>17.5</v>
      </c>
      <c r="I129" s="36" t="n">
        <f aca="false">INDEX(Inventory!$D$2:$D$17,MATCH(C129,Inventory!$A$2:$A$17,0))</f>
        <v>1.6</v>
      </c>
      <c r="J129" s="36" t="n">
        <f aca="false">F129*I129</f>
        <v>11.2</v>
      </c>
      <c r="K129" s="36" t="n">
        <f aca="false">H129-J129</f>
        <v>6.3</v>
      </c>
    </row>
    <row r="130" customFormat="false" ht="15" hidden="false" customHeight="false" outlineLevel="0" collapsed="false">
      <c r="A130" s="41" t="n">
        <v>46212</v>
      </c>
      <c r="B130" s="42" t="n">
        <f aca="false">DATE(YEAR(A130),MONTH(A130),1)</f>
        <v>46204</v>
      </c>
      <c r="C130" s="3" t="s">
        <v>39</v>
      </c>
      <c r="D130" s="3" t="s">
        <v>40</v>
      </c>
      <c r="E130" s="3" t="s">
        <v>27</v>
      </c>
      <c r="F130" s="3" t="n">
        <v>35</v>
      </c>
      <c r="G130" s="36" t="n">
        <v>1</v>
      </c>
      <c r="H130" s="36" t="n">
        <f aca="false">F130*G130</f>
        <v>35</v>
      </c>
      <c r="I130" s="36" t="n">
        <f aca="false">INDEX(Inventory!$D$2:$D$17,MATCH(C130,Inventory!$A$2:$A$17,0))</f>
        <v>0.6</v>
      </c>
      <c r="J130" s="36" t="n">
        <f aca="false">F130*I130</f>
        <v>21</v>
      </c>
      <c r="K130" s="36" t="n">
        <f aca="false">H130-J130</f>
        <v>14</v>
      </c>
    </row>
    <row r="131" customFormat="false" ht="15" hidden="false" customHeight="false" outlineLevel="0" collapsed="false">
      <c r="A131" s="41" t="n">
        <v>46212</v>
      </c>
      <c r="B131" s="42" t="n">
        <f aca="false">DATE(YEAR(A131),MONTH(A131),1)</f>
        <v>46204</v>
      </c>
      <c r="C131" s="3" t="s">
        <v>53</v>
      </c>
      <c r="D131" s="3" t="s">
        <v>54</v>
      </c>
      <c r="E131" s="3" t="s">
        <v>27</v>
      </c>
      <c r="F131" s="3" t="n">
        <v>12</v>
      </c>
      <c r="G131" s="36" t="n">
        <v>0.95</v>
      </c>
      <c r="H131" s="36" t="n">
        <f aca="false">F131*G131</f>
        <v>11.4</v>
      </c>
      <c r="I131" s="36" t="n">
        <f aca="false">INDEX(Inventory!$D$2:$D$17,MATCH(C131,Inventory!$A$2:$A$17,0))</f>
        <v>0.55</v>
      </c>
      <c r="J131" s="36" t="n">
        <f aca="false">F131*I131</f>
        <v>6.6</v>
      </c>
      <c r="K131" s="36" t="n">
        <f aca="false">H131-J131</f>
        <v>4.8</v>
      </c>
    </row>
    <row r="132" customFormat="false" ht="15" hidden="false" customHeight="false" outlineLevel="0" collapsed="false">
      <c r="A132" s="41" t="n">
        <v>46212</v>
      </c>
      <c r="B132" s="42" t="n">
        <f aca="false">DATE(YEAR(A132),MONTH(A132),1)</f>
        <v>46204</v>
      </c>
      <c r="C132" s="3" t="s">
        <v>59</v>
      </c>
      <c r="D132" s="3" t="s">
        <v>60</v>
      </c>
      <c r="E132" s="3" t="s">
        <v>27</v>
      </c>
      <c r="F132" s="3" t="n">
        <v>29</v>
      </c>
      <c r="G132" s="36" t="n">
        <v>0.6</v>
      </c>
      <c r="H132" s="36" t="n">
        <f aca="false">F132*G132</f>
        <v>17.4</v>
      </c>
      <c r="I132" s="36" t="n">
        <f aca="false">INDEX(Inventory!$D$2:$D$17,MATCH(C132,Inventory!$A$2:$A$17,0))</f>
        <v>0.3</v>
      </c>
      <c r="J132" s="36" t="n">
        <f aca="false">F132*I132</f>
        <v>8.7</v>
      </c>
      <c r="K132" s="36" t="n">
        <f aca="false">H132-J132</f>
        <v>8.7</v>
      </c>
    </row>
    <row r="133" customFormat="false" ht="15" hidden="false" customHeight="false" outlineLevel="0" collapsed="false">
      <c r="A133" s="41" t="n">
        <v>46212</v>
      </c>
      <c r="B133" s="42" t="n">
        <f aca="false">DATE(YEAR(A133),MONTH(A133),1)</f>
        <v>46204</v>
      </c>
      <c r="C133" s="3" t="s">
        <v>57</v>
      </c>
      <c r="D133" s="3" t="s">
        <v>58</v>
      </c>
      <c r="E133" s="3" t="s">
        <v>27</v>
      </c>
      <c r="F133" s="3" t="n">
        <v>13</v>
      </c>
      <c r="G133" s="36" t="n">
        <v>1.5</v>
      </c>
      <c r="H133" s="36" t="n">
        <f aca="false">F133*G133</f>
        <v>19.5</v>
      </c>
      <c r="I133" s="36" t="n">
        <f aca="false">INDEX(Inventory!$D$2:$D$17,MATCH(C133,Inventory!$A$2:$A$17,0))</f>
        <v>0.9</v>
      </c>
      <c r="J133" s="36" t="n">
        <f aca="false">F133*I133</f>
        <v>11.7</v>
      </c>
      <c r="K133" s="36" t="n">
        <f aca="false">H133-J133</f>
        <v>7.8</v>
      </c>
    </row>
    <row r="134" customFormat="false" ht="15" hidden="false" customHeight="false" outlineLevel="0" collapsed="false">
      <c r="A134" s="41" t="n">
        <v>46212</v>
      </c>
      <c r="B134" s="42" t="n">
        <f aca="false">DATE(YEAR(A134),MONTH(A134),1)</f>
        <v>46204</v>
      </c>
      <c r="C134" s="3" t="s">
        <v>41</v>
      </c>
      <c r="D134" s="3" t="s">
        <v>42</v>
      </c>
      <c r="E134" s="3" t="s">
        <v>28</v>
      </c>
      <c r="F134" s="3" t="n">
        <v>29</v>
      </c>
      <c r="G134" s="36" t="n">
        <v>1.3</v>
      </c>
      <c r="H134" s="36" t="n">
        <f aca="false">F134*G134</f>
        <v>37.7</v>
      </c>
      <c r="I134" s="36" t="n">
        <f aca="false">INDEX(Inventory!$D$2:$D$17,MATCH(C134,Inventory!$A$2:$A$17,0))</f>
        <v>0.8</v>
      </c>
      <c r="J134" s="36" t="n">
        <f aca="false">F134*I134</f>
        <v>23.2</v>
      </c>
      <c r="K134" s="36" t="n">
        <f aca="false">H134-J134</f>
        <v>14.5</v>
      </c>
    </row>
    <row r="135" customFormat="false" ht="15" hidden="false" customHeight="false" outlineLevel="0" collapsed="false">
      <c r="A135" s="41" t="n">
        <v>46212</v>
      </c>
      <c r="B135" s="42" t="n">
        <f aca="false">DATE(YEAR(A135),MONTH(A135),1)</f>
        <v>46204</v>
      </c>
      <c r="C135" s="3" t="s">
        <v>63</v>
      </c>
      <c r="D135" s="3" t="s">
        <v>64</v>
      </c>
      <c r="E135" s="3" t="s">
        <v>28</v>
      </c>
      <c r="F135" s="3" t="n">
        <v>8</v>
      </c>
      <c r="G135" s="36" t="n">
        <v>0.9</v>
      </c>
      <c r="H135" s="36" t="n">
        <f aca="false">F135*G135</f>
        <v>7.2</v>
      </c>
      <c r="I135" s="36" t="n">
        <f aca="false">INDEX(Inventory!$D$2:$D$17,MATCH(C135,Inventory!$A$2:$A$17,0))</f>
        <v>0.5</v>
      </c>
      <c r="J135" s="36" t="n">
        <f aca="false">F135*I135</f>
        <v>4</v>
      </c>
      <c r="K135" s="36" t="n">
        <f aca="false">H135-J135</f>
        <v>3.2</v>
      </c>
    </row>
    <row r="136" customFormat="false" ht="15" hidden="false" customHeight="false" outlineLevel="0" collapsed="false">
      <c r="A136" s="41" t="n">
        <v>46212</v>
      </c>
      <c r="B136" s="42" t="n">
        <f aca="false">DATE(YEAR(A136),MONTH(A136),1)</f>
        <v>46204</v>
      </c>
      <c r="C136" s="3" t="s">
        <v>49</v>
      </c>
      <c r="D136" s="3" t="s">
        <v>50</v>
      </c>
      <c r="E136" s="3" t="s">
        <v>28</v>
      </c>
      <c r="F136" s="3" t="n">
        <v>20</v>
      </c>
      <c r="G136" s="36" t="n">
        <v>1.2</v>
      </c>
      <c r="H136" s="36" t="n">
        <f aca="false">F136*G136</f>
        <v>24</v>
      </c>
      <c r="I136" s="36" t="n">
        <f aca="false">INDEX(Inventory!$D$2:$D$17,MATCH(C136,Inventory!$A$2:$A$17,0))</f>
        <v>0.7</v>
      </c>
      <c r="J136" s="36" t="n">
        <f aca="false">F136*I136</f>
        <v>14</v>
      </c>
      <c r="K136" s="36" t="n">
        <f aca="false">H136-J136</f>
        <v>10</v>
      </c>
    </row>
    <row r="137" customFormat="false" ht="15" hidden="false" customHeight="false" outlineLevel="0" collapsed="false">
      <c r="A137" s="41" t="n">
        <v>46212</v>
      </c>
      <c r="B137" s="42" t="n">
        <f aca="false">DATE(YEAR(A137),MONTH(A137),1)</f>
        <v>46204</v>
      </c>
      <c r="C137" s="3" t="s">
        <v>51</v>
      </c>
      <c r="D137" s="3" t="s">
        <v>52</v>
      </c>
      <c r="E137" s="3" t="s">
        <v>28</v>
      </c>
      <c r="F137" s="3" t="n">
        <v>25</v>
      </c>
      <c r="G137" s="36" t="n">
        <v>0.85</v>
      </c>
      <c r="H137" s="36" t="n">
        <f aca="false">F137*G137</f>
        <v>21.25</v>
      </c>
      <c r="I137" s="36" t="n">
        <f aca="false">INDEX(Inventory!$D$2:$D$17,MATCH(C137,Inventory!$A$2:$A$17,0))</f>
        <v>0.45</v>
      </c>
      <c r="J137" s="36" t="n">
        <f aca="false">F137*I137</f>
        <v>11.25</v>
      </c>
      <c r="K137" s="36" t="n">
        <f aca="false">H137-J137</f>
        <v>10</v>
      </c>
    </row>
    <row r="138" customFormat="false" ht="15" hidden="false" customHeight="false" outlineLevel="0" collapsed="false">
      <c r="A138" s="41" t="n">
        <v>46212</v>
      </c>
      <c r="B138" s="42" t="n">
        <f aca="false">DATE(YEAR(A138),MONTH(A138),1)</f>
        <v>46204</v>
      </c>
      <c r="C138" s="3" t="s">
        <v>37</v>
      </c>
      <c r="D138" s="3" t="s">
        <v>38</v>
      </c>
      <c r="E138" s="3" t="s">
        <v>26</v>
      </c>
      <c r="F138" s="3" t="n">
        <v>33</v>
      </c>
      <c r="G138" s="36" t="n">
        <v>1.2</v>
      </c>
      <c r="H138" s="36" t="n">
        <f aca="false">F138*G138</f>
        <v>39.6</v>
      </c>
      <c r="I138" s="36" t="n">
        <f aca="false">INDEX(Inventory!$D$2:$D$17,MATCH(C138,Inventory!$A$2:$A$17,0))</f>
        <v>0.85</v>
      </c>
      <c r="J138" s="36" t="n">
        <f aca="false">F138*I138</f>
        <v>28.05</v>
      </c>
      <c r="K138" s="36" t="n">
        <f aca="false">H138-J138</f>
        <v>11.55</v>
      </c>
    </row>
    <row r="139" customFormat="false" ht="15" hidden="false" customHeight="false" outlineLevel="0" collapsed="false">
      <c r="A139" s="41" t="n">
        <v>46212</v>
      </c>
      <c r="B139" s="42" t="n">
        <f aca="false">DATE(YEAR(A139),MONTH(A139),1)</f>
        <v>46204</v>
      </c>
      <c r="C139" s="3" t="s">
        <v>47</v>
      </c>
      <c r="D139" s="3" t="s">
        <v>48</v>
      </c>
      <c r="E139" s="3" t="s">
        <v>26</v>
      </c>
      <c r="F139" s="3" t="n">
        <v>12</v>
      </c>
      <c r="G139" s="36" t="n">
        <v>2.2</v>
      </c>
      <c r="H139" s="36" t="n">
        <f aca="false">F139*G139</f>
        <v>26.4</v>
      </c>
      <c r="I139" s="36" t="n">
        <f aca="false">INDEX(Inventory!$D$2:$D$17,MATCH(C139,Inventory!$A$2:$A$17,0))</f>
        <v>1.4</v>
      </c>
      <c r="J139" s="36" t="n">
        <f aca="false">F139*I139</f>
        <v>16.8</v>
      </c>
      <c r="K139" s="36" t="n">
        <f aca="false">H139-J139</f>
        <v>9.60000000000001</v>
      </c>
    </row>
    <row r="140" customFormat="false" ht="15" hidden="false" customHeight="false" outlineLevel="0" collapsed="false">
      <c r="A140" s="41" t="n">
        <v>46212</v>
      </c>
      <c r="B140" s="42" t="n">
        <f aca="false">DATE(YEAR(A140),MONTH(A140),1)</f>
        <v>46204</v>
      </c>
      <c r="C140" s="3" t="s">
        <v>43</v>
      </c>
      <c r="D140" s="3" t="s">
        <v>44</v>
      </c>
      <c r="E140" s="3" t="s">
        <v>26</v>
      </c>
      <c r="F140" s="3" t="n">
        <v>7</v>
      </c>
      <c r="G140" s="36" t="n">
        <v>3.8</v>
      </c>
      <c r="H140" s="36" t="n">
        <f aca="false">F140*G140</f>
        <v>26.6</v>
      </c>
      <c r="I140" s="36" t="n">
        <f aca="false">INDEX(Inventory!$D$2:$D$17,MATCH(C140,Inventory!$A$2:$A$17,0))</f>
        <v>2.6</v>
      </c>
      <c r="J140" s="36" t="n">
        <f aca="false">F140*I140</f>
        <v>18.2</v>
      </c>
      <c r="K140" s="36" t="n">
        <f aca="false">H140-J140</f>
        <v>8.4</v>
      </c>
    </row>
    <row r="141" customFormat="false" ht="15" hidden="false" customHeight="false" outlineLevel="0" collapsed="false">
      <c r="A141" s="41" t="n">
        <v>46212</v>
      </c>
      <c r="B141" s="42" t="n">
        <f aca="false">DATE(YEAR(A141),MONTH(A141),1)</f>
        <v>46204</v>
      </c>
      <c r="C141" s="3" t="s">
        <v>67</v>
      </c>
      <c r="D141" s="3" t="s">
        <v>68</v>
      </c>
      <c r="E141" s="3" t="s">
        <v>26</v>
      </c>
      <c r="F141" s="3" t="n">
        <v>5</v>
      </c>
      <c r="G141" s="36" t="n">
        <v>1.9</v>
      </c>
      <c r="H141" s="36" t="n">
        <f aca="false">F141*G141</f>
        <v>9.5</v>
      </c>
      <c r="I141" s="36" t="n">
        <f aca="false">INDEX(Inventory!$D$2:$D$17,MATCH(C141,Inventory!$A$2:$A$17,0))</f>
        <v>1.3</v>
      </c>
      <c r="J141" s="36" t="n">
        <f aca="false">F141*I141</f>
        <v>6.5</v>
      </c>
      <c r="K141" s="36" t="n">
        <f aca="false">H141-J141</f>
        <v>3</v>
      </c>
    </row>
    <row r="142" customFormat="false" ht="15" hidden="false" customHeight="false" outlineLevel="0" collapsed="false">
      <c r="A142" s="41" t="n">
        <v>46212</v>
      </c>
      <c r="B142" s="42" t="n">
        <f aca="false">DATE(YEAR(A142),MONTH(A142),1)</f>
        <v>46204</v>
      </c>
      <c r="C142" s="3" t="s">
        <v>61</v>
      </c>
      <c r="D142" s="3" t="s">
        <v>62</v>
      </c>
      <c r="E142" s="3" t="s">
        <v>29</v>
      </c>
      <c r="F142" s="3" t="n">
        <v>6</v>
      </c>
      <c r="G142" s="36" t="n">
        <v>1.9</v>
      </c>
      <c r="H142" s="36" t="n">
        <f aca="false">F142*G142</f>
        <v>11.4</v>
      </c>
      <c r="I142" s="36" t="n">
        <f aca="false">INDEX(Inventory!$D$2:$D$17,MATCH(C142,Inventory!$A$2:$A$17,0))</f>
        <v>1.1</v>
      </c>
      <c r="J142" s="36" t="n">
        <f aca="false">F142*I142</f>
        <v>6.6</v>
      </c>
      <c r="K142" s="36" t="n">
        <f aca="false">H142-J142</f>
        <v>4.8</v>
      </c>
    </row>
    <row r="143" customFormat="false" ht="15" hidden="false" customHeight="false" outlineLevel="0" collapsed="false">
      <c r="A143" s="41" t="n">
        <v>46212</v>
      </c>
      <c r="B143" s="42" t="n">
        <f aca="false">DATE(YEAR(A143),MONTH(A143),1)</f>
        <v>46204</v>
      </c>
      <c r="C143" s="3" t="s">
        <v>45</v>
      </c>
      <c r="D143" s="3" t="s">
        <v>46</v>
      </c>
      <c r="E143" s="3" t="s">
        <v>29</v>
      </c>
      <c r="F143" s="3" t="n">
        <v>5</v>
      </c>
      <c r="G143" s="36" t="n">
        <v>5.2</v>
      </c>
      <c r="H143" s="36" t="n">
        <f aca="false">F143*G143</f>
        <v>26</v>
      </c>
      <c r="I143" s="36" t="n">
        <f aca="false">INDEX(Inventory!$D$2:$D$17,MATCH(C143,Inventory!$A$2:$A$17,0))</f>
        <v>3.5</v>
      </c>
      <c r="J143" s="36" t="n">
        <f aca="false">F143*I143</f>
        <v>17.5</v>
      </c>
      <c r="K143" s="36" t="n">
        <f aca="false">H143-J143</f>
        <v>8.5</v>
      </c>
    </row>
    <row r="144" customFormat="false" ht="15" hidden="false" customHeight="false" outlineLevel="0" collapsed="false">
      <c r="A144" s="41" t="n">
        <v>46212</v>
      </c>
      <c r="B144" s="42" t="n">
        <f aca="false">DATE(YEAR(A144),MONTH(A144),1)</f>
        <v>46204</v>
      </c>
      <c r="C144" s="3" t="s">
        <v>65</v>
      </c>
      <c r="D144" s="3" t="s">
        <v>66</v>
      </c>
      <c r="E144" s="3" t="s">
        <v>29</v>
      </c>
      <c r="F144" s="3" t="n">
        <v>8</v>
      </c>
      <c r="G144" s="36" t="n">
        <v>1.5</v>
      </c>
      <c r="H144" s="36" t="n">
        <f aca="false">F144*G144</f>
        <v>12</v>
      </c>
      <c r="I144" s="36" t="n">
        <f aca="false">INDEX(Inventory!$D$2:$D$17,MATCH(C144,Inventory!$A$2:$A$17,0))</f>
        <v>0.9</v>
      </c>
      <c r="J144" s="36" t="n">
        <f aca="false">F144*I144</f>
        <v>7.2</v>
      </c>
      <c r="K144" s="36" t="n">
        <f aca="false">H144-J144</f>
        <v>4.8</v>
      </c>
    </row>
    <row r="145" customFormat="false" ht="15" hidden="false" customHeight="false" outlineLevel="0" collapsed="false">
      <c r="A145" s="41" t="n">
        <v>46212</v>
      </c>
      <c r="B145" s="42" t="n">
        <f aca="false">DATE(YEAR(A145),MONTH(A145),1)</f>
        <v>46204</v>
      </c>
      <c r="C145" s="3" t="s">
        <v>55</v>
      </c>
      <c r="D145" s="3" t="s">
        <v>56</v>
      </c>
      <c r="E145" s="3" t="s">
        <v>29</v>
      </c>
      <c r="F145" s="3" t="n">
        <v>11</v>
      </c>
      <c r="G145" s="36" t="n">
        <v>2.5</v>
      </c>
      <c r="H145" s="36" t="n">
        <f aca="false">F145*G145</f>
        <v>27.5</v>
      </c>
      <c r="I145" s="36" t="n">
        <f aca="false">INDEX(Inventory!$D$2:$D$17,MATCH(C145,Inventory!$A$2:$A$17,0))</f>
        <v>1.6</v>
      </c>
      <c r="J145" s="36" t="n">
        <f aca="false">F145*I145</f>
        <v>17.6</v>
      </c>
      <c r="K145" s="36" t="n">
        <f aca="false">H145-J145</f>
        <v>9.9</v>
      </c>
    </row>
    <row r="146" customFormat="false" ht="15" hidden="false" customHeight="false" outlineLevel="0" collapsed="false">
      <c r="A146" s="41" t="n">
        <v>46213</v>
      </c>
      <c r="B146" s="42" t="n">
        <f aca="false">DATE(YEAR(A146),MONTH(A146),1)</f>
        <v>46204</v>
      </c>
      <c r="C146" s="3" t="s">
        <v>39</v>
      </c>
      <c r="D146" s="3" t="s">
        <v>40</v>
      </c>
      <c r="E146" s="3" t="s">
        <v>27</v>
      </c>
      <c r="F146" s="3" t="n">
        <v>26</v>
      </c>
      <c r="G146" s="36" t="n">
        <v>1</v>
      </c>
      <c r="H146" s="36" t="n">
        <f aca="false">F146*G146</f>
        <v>26</v>
      </c>
      <c r="I146" s="36" t="n">
        <f aca="false">INDEX(Inventory!$D$2:$D$17,MATCH(C146,Inventory!$A$2:$A$17,0))</f>
        <v>0.6</v>
      </c>
      <c r="J146" s="36" t="n">
        <f aca="false">F146*I146</f>
        <v>15.6</v>
      </c>
      <c r="K146" s="36" t="n">
        <f aca="false">H146-J146</f>
        <v>10.4</v>
      </c>
    </row>
    <row r="147" customFormat="false" ht="15" hidden="false" customHeight="false" outlineLevel="0" collapsed="false">
      <c r="A147" s="41" t="n">
        <v>46213</v>
      </c>
      <c r="B147" s="42" t="n">
        <f aca="false">DATE(YEAR(A147),MONTH(A147),1)</f>
        <v>46204</v>
      </c>
      <c r="C147" s="3" t="s">
        <v>53</v>
      </c>
      <c r="D147" s="3" t="s">
        <v>54</v>
      </c>
      <c r="E147" s="3" t="s">
        <v>27</v>
      </c>
      <c r="F147" s="3" t="n">
        <v>22</v>
      </c>
      <c r="G147" s="36" t="n">
        <v>0.95</v>
      </c>
      <c r="H147" s="36" t="n">
        <f aca="false">F147*G147</f>
        <v>20.9</v>
      </c>
      <c r="I147" s="36" t="n">
        <f aca="false">INDEX(Inventory!$D$2:$D$17,MATCH(C147,Inventory!$A$2:$A$17,0))</f>
        <v>0.55</v>
      </c>
      <c r="J147" s="36" t="n">
        <f aca="false">F147*I147</f>
        <v>12.1</v>
      </c>
      <c r="K147" s="36" t="n">
        <f aca="false">H147-J147</f>
        <v>8.8</v>
      </c>
    </row>
    <row r="148" customFormat="false" ht="15" hidden="false" customHeight="false" outlineLevel="0" collapsed="false">
      <c r="A148" s="41" t="n">
        <v>46213</v>
      </c>
      <c r="B148" s="42" t="n">
        <f aca="false">DATE(YEAR(A148),MONTH(A148),1)</f>
        <v>46204</v>
      </c>
      <c r="C148" s="3" t="s">
        <v>59</v>
      </c>
      <c r="D148" s="3" t="s">
        <v>60</v>
      </c>
      <c r="E148" s="3" t="s">
        <v>27</v>
      </c>
      <c r="F148" s="3" t="n">
        <v>23</v>
      </c>
      <c r="G148" s="36" t="n">
        <v>0.6</v>
      </c>
      <c r="H148" s="36" t="n">
        <f aca="false">F148*G148</f>
        <v>13.8</v>
      </c>
      <c r="I148" s="36" t="n">
        <f aca="false">INDEX(Inventory!$D$2:$D$17,MATCH(C148,Inventory!$A$2:$A$17,0))</f>
        <v>0.3</v>
      </c>
      <c r="J148" s="36" t="n">
        <f aca="false">F148*I148</f>
        <v>6.9</v>
      </c>
      <c r="K148" s="36" t="n">
        <f aca="false">H148-J148</f>
        <v>6.9</v>
      </c>
    </row>
    <row r="149" customFormat="false" ht="15" hidden="false" customHeight="false" outlineLevel="0" collapsed="false">
      <c r="A149" s="41" t="n">
        <v>46213</v>
      </c>
      <c r="B149" s="42" t="n">
        <f aca="false">DATE(YEAR(A149),MONTH(A149),1)</f>
        <v>46204</v>
      </c>
      <c r="C149" s="3" t="s">
        <v>57</v>
      </c>
      <c r="D149" s="3" t="s">
        <v>58</v>
      </c>
      <c r="E149" s="3" t="s">
        <v>27</v>
      </c>
      <c r="F149" s="3" t="n">
        <v>13</v>
      </c>
      <c r="G149" s="36" t="n">
        <v>1.5</v>
      </c>
      <c r="H149" s="36" t="n">
        <f aca="false">F149*G149</f>
        <v>19.5</v>
      </c>
      <c r="I149" s="36" t="n">
        <f aca="false">INDEX(Inventory!$D$2:$D$17,MATCH(C149,Inventory!$A$2:$A$17,0))</f>
        <v>0.9</v>
      </c>
      <c r="J149" s="36" t="n">
        <f aca="false">F149*I149</f>
        <v>11.7</v>
      </c>
      <c r="K149" s="36" t="n">
        <f aca="false">H149-J149</f>
        <v>7.8</v>
      </c>
    </row>
    <row r="150" customFormat="false" ht="15" hidden="false" customHeight="false" outlineLevel="0" collapsed="false">
      <c r="A150" s="41" t="n">
        <v>46213</v>
      </c>
      <c r="B150" s="42" t="n">
        <f aca="false">DATE(YEAR(A150),MONTH(A150),1)</f>
        <v>46204</v>
      </c>
      <c r="C150" s="3" t="s">
        <v>41</v>
      </c>
      <c r="D150" s="3" t="s">
        <v>42</v>
      </c>
      <c r="E150" s="3" t="s">
        <v>28</v>
      </c>
      <c r="F150" s="3" t="n">
        <v>24</v>
      </c>
      <c r="G150" s="36" t="n">
        <v>1.3</v>
      </c>
      <c r="H150" s="36" t="n">
        <f aca="false">F150*G150</f>
        <v>31.2</v>
      </c>
      <c r="I150" s="36" t="n">
        <f aca="false">INDEX(Inventory!$D$2:$D$17,MATCH(C150,Inventory!$A$2:$A$17,0))</f>
        <v>0.8</v>
      </c>
      <c r="J150" s="36" t="n">
        <f aca="false">F150*I150</f>
        <v>19.2</v>
      </c>
      <c r="K150" s="36" t="n">
        <f aca="false">H150-J150</f>
        <v>12</v>
      </c>
    </row>
    <row r="151" customFormat="false" ht="15" hidden="false" customHeight="false" outlineLevel="0" collapsed="false">
      <c r="A151" s="41" t="n">
        <v>46213</v>
      </c>
      <c r="B151" s="42" t="n">
        <f aca="false">DATE(YEAR(A151),MONTH(A151),1)</f>
        <v>46204</v>
      </c>
      <c r="C151" s="3" t="s">
        <v>63</v>
      </c>
      <c r="D151" s="3" t="s">
        <v>64</v>
      </c>
      <c r="E151" s="3" t="s">
        <v>28</v>
      </c>
      <c r="F151" s="3" t="n">
        <v>19</v>
      </c>
      <c r="G151" s="36" t="n">
        <v>0.9</v>
      </c>
      <c r="H151" s="36" t="n">
        <f aca="false">F151*G151</f>
        <v>17.1</v>
      </c>
      <c r="I151" s="36" t="n">
        <f aca="false">INDEX(Inventory!$D$2:$D$17,MATCH(C151,Inventory!$A$2:$A$17,0))</f>
        <v>0.5</v>
      </c>
      <c r="J151" s="36" t="n">
        <f aca="false">F151*I151</f>
        <v>9.5</v>
      </c>
      <c r="K151" s="36" t="n">
        <f aca="false">H151-J151</f>
        <v>7.6</v>
      </c>
    </row>
    <row r="152" customFormat="false" ht="15" hidden="false" customHeight="false" outlineLevel="0" collapsed="false">
      <c r="A152" s="41" t="n">
        <v>46213</v>
      </c>
      <c r="B152" s="42" t="n">
        <f aca="false">DATE(YEAR(A152),MONTH(A152),1)</f>
        <v>46204</v>
      </c>
      <c r="C152" s="3" t="s">
        <v>49</v>
      </c>
      <c r="D152" s="3" t="s">
        <v>50</v>
      </c>
      <c r="E152" s="3" t="s">
        <v>28</v>
      </c>
      <c r="F152" s="3" t="n">
        <v>24</v>
      </c>
      <c r="G152" s="36" t="n">
        <v>1.2</v>
      </c>
      <c r="H152" s="36" t="n">
        <f aca="false">F152*G152</f>
        <v>28.8</v>
      </c>
      <c r="I152" s="36" t="n">
        <f aca="false">INDEX(Inventory!$D$2:$D$17,MATCH(C152,Inventory!$A$2:$A$17,0))</f>
        <v>0.7</v>
      </c>
      <c r="J152" s="36" t="n">
        <f aca="false">F152*I152</f>
        <v>16.8</v>
      </c>
      <c r="K152" s="36" t="n">
        <f aca="false">H152-J152</f>
        <v>12</v>
      </c>
    </row>
    <row r="153" customFormat="false" ht="15" hidden="false" customHeight="false" outlineLevel="0" collapsed="false">
      <c r="A153" s="41" t="n">
        <v>46213</v>
      </c>
      <c r="B153" s="42" t="n">
        <f aca="false">DATE(YEAR(A153),MONTH(A153),1)</f>
        <v>46204</v>
      </c>
      <c r="C153" s="3" t="s">
        <v>51</v>
      </c>
      <c r="D153" s="3" t="s">
        <v>52</v>
      </c>
      <c r="E153" s="3" t="s">
        <v>28</v>
      </c>
      <c r="F153" s="3" t="n">
        <v>25</v>
      </c>
      <c r="G153" s="36" t="n">
        <v>0.85</v>
      </c>
      <c r="H153" s="36" t="n">
        <f aca="false">F153*G153</f>
        <v>21.25</v>
      </c>
      <c r="I153" s="36" t="n">
        <f aca="false">INDEX(Inventory!$D$2:$D$17,MATCH(C153,Inventory!$A$2:$A$17,0))</f>
        <v>0.45</v>
      </c>
      <c r="J153" s="36" t="n">
        <f aca="false">F153*I153</f>
        <v>11.25</v>
      </c>
      <c r="K153" s="36" t="n">
        <f aca="false">H153-J153</f>
        <v>10</v>
      </c>
    </row>
    <row r="154" customFormat="false" ht="15" hidden="false" customHeight="false" outlineLevel="0" collapsed="false">
      <c r="A154" s="41" t="n">
        <v>46213</v>
      </c>
      <c r="B154" s="42" t="n">
        <f aca="false">DATE(YEAR(A154),MONTH(A154),1)</f>
        <v>46204</v>
      </c>
      <c r="C154" s="3" t="s">
        <v>37</v>
      </c>
      <c r="D154" s="3" t="s">
        <v>38</v>
      </c>
      <c r="E154" s="3" t="s">
        <v>26</v>
      </c>
      <c r="F154" s="3" t="n">
        <v>21</v>
      </c>
      <c r="G154" s="36" t="n">
        <v>1.2</v>
      </c>
      <c r="H154" s="36" t="n">
        <f aca="false">F154*G154</f>
        <v>25.2</v>
      </c>
      <c r="I154" s="36" t="n">
        <f aca="false">INDEX(Inventory!$D$2:$D$17,MATCH(C154,Inventory!$A$2:$A$17,0))</f>
        <v>0.85</v>
      </c>
      <c r="J154" s="36" t="n">
        <f aca="false">F154*I154</f>
        <v>17.85</v>
      </c>
      <c r="K154" s="36" t="n">
        <f aca="false">H154-J154</f>
        <v>7.35</v>
      </c>
    </row>
    <row r="155" customFormat="false" ht="15" hidden="false" customHeight="false" outlineLevel="0" collapsed="false">
      <c r="A155" s="41" t="n">
        <v>46213</v>
      </c>
      <c r="B155" s="42" t="n">
        <f aca="false">DATE(YEAR(A155),MONTH(A155),1)</f>
        <v>46204</v>
      </c>
      <c r="C155" s="3" t="s">
        <v>47</v>
      </c>
      <c r="D155" s="3" t="s">
        <v>48</v>
      </c>
      <c r="E155" s="3" t="s">
        <v>26</v>
      </c>
      <c r="F155" s="3" t="n">
        <v>13</v>
      </c>
      <c r="G155" s="36" t="n">
        <v>2.2</v>
      </c>
      <c r="H155" s="36" t="n">
        <f aca="false">F155*G155</f>
        <v>28.6</v>
      </c>
      <c r="I155" s="36" t="n">
        <f aca="false">INDEX(Inventory!$D$2:$D$17,MATCH(C155,Inventory!$A$2:$A$17,0))</f>
        <v>1.4</v>
      </c>
      <c r="J155" s="36" t="n">
        <f aca="false">F155*I155</f>
        <v>18.2</v>
      </c>
      <c r="K155" s="36" t="n">
        <f aca="false">H155-J155</f>
        <v>10.4</v>
      </c>
    </row>
    <row r="156" customFormat="false" ht="15" hidden="false" customHeight="false" outlineLevel="0" collapsed="false">
      <c r="A156" s="41" t="n">
        <v>46213</v>
      </c>
      <c r="B156" s="42" t="n">
        <f aca="false">DATE(YEAR(A156),MONTH(A156),1)</f>
        <v>46204</v>
      </c>
      <c r="C156" s="3" t="s">
        <v>43</v>
      </c>
      <c r="D156" s="3" t="s">
        <v>44</v>
      </c>
      <c r="E156" s="3" t="s">
        <v>26</v>
      </c>
      <c r="F156" s="3" t="n">
        <v>9</v>
      </c>
      <c r="G156" s="36" t="n">
        <v>3.8</v>
      </c>
      <c r="H156" s="36" t="n">
        <f aca="false">F156*G156</f>
        <v>34.2</v>
      </c>
      <c r="I156" s="36" t="n">
        <f aca="false">INDEX(Inventory!$D$2:$D$17,MATCH(C156,Inventory!$A$2:$A$17,0))</f>
        <v>2.6</v>
      </c>
      <c r="J156" s="36" t="n">
        <f aca="false">F156*I156</f>
        <v>23.4</v>
      </c>
      <c r="K156" s="36" t="n">
        <f aca="false">H156-J156</f>
        <v>10.8</v>
      </c>
    </row>
    <row r="157" customFormat="false" ht="15" hidden="false" customHeight="false" outlineLevel="0" collapsed="false">
      <c r="A157" s="41" t="n">
        <v>46213</v>
      </c>
      <c r="B157" s="42" t="n">
        <f aca="false">DATE(YEAR(A157),MONTH(A157),1)</f>
        <v>46204</v>
      </c>
      <c r="C157" s="3" t="s">
        <v>67</v>
      </c>
      <c r="D157" s="3" t="s">
        <v>68</v>
      </c>
      <c r="E157" s="3" t="s">
        <v>26</v>
      </c>
      <c r="F157" s="3" t="n">
        <v>8</v>
      </c>
      <c r="G157" s="36" t="n">
        <v>1.9</v>
      </c>
      <c r="H157" s="36" t="n">
        <f aca="false">F157*G157</f>
        <v>15.2</v>
      </c>
      <c r="I157" s="36" t="n">
        <f aca="false">INDEX(Inventory!$D$2:$D$17,MATCH(C157,Inventory!$A$2:$A$17,0))</f>
        <v>1.3</v>
      </c>
      <c r="J157" s="36" t="n">
        <f aca="false">F157*I157</f>
        <v>10.4</v>
      </c>
      <c r="K157" s="36" t="n">
        <f aca="false">H157-J157</f>
        <v>4.8</v>
      </c>
    </row>
    <row r="158" customFormat="false" ht="15" hidden="false" customHeight="false" outlineLevel="0" collapsed="false">
      <c r="A158" s="41" t="n">
        <v>46213</v>
      </c>
      <c r="B158" s="42" t="n">
        <f aca="false">DATE(YEAR(A158),MONTH(A158),1)</f>
        <v>46204</v>
      </c>
      <c r="C158" s="3" t="s">
        <v>61</v>
      </c>
      <c r="D158" s="3" t="s">
        <v>62</v>
      </c>
      <c r="E158" s="3" t="s">
        <v>29</v>
      </c>
      <c r="F158" s="3" t="n">
        <v>9</v>
      </c>
      <c r="G158" s="36" t="n">
        <v>1.9</v>
      </c>
      <c r="H158" s="36" t="n">
        <f aca="false">F158*G158</f>
        <v>17.1</v>
      </c>
      <c r="I158" s="36" t="n">
        <f aca="false">INDEX(Inventory!$D$2:$D$17,MATCH(C158,Inventory!$A$2:$A$17,0))</f>
        <v>1.1</v>
      </c>
      <c r="J158" s="36" t="n">
        <f aca="false">F158*I158</f>
        <v>9.9</v>
      </c>
      <c r="K158" s="36" t="n">
        <f aca="false">H158-J158</f>
        <v>7.2</v>
      </c>
    </row>
    <row r="159" customFormat="false" ht="15" hidden="false" customHeight="false" outlineLevel="0" collapsed="false">
      <c r="A159" s="41" t="n">
        <v>46213</v>
      </c>
      <c r="B159" s="42" t="n">
        <f aca="false">DATE(YEAR(A159),MONTH(A159),1)</f>
        <v>46204</v>
      </c>
      <c r="C159" s="3" t="s">
        <v>45</v>
      </c>
      <c r="D159" s="3" t="s">
        <v>46</v>
      </c>
      <c r="E159" s="3" t="s">
        <v>29</v>
      </c>
      <c r="F159" s="3" t="n">
        <v>7</v>
      </c>
      <c r="G159" s="36" t="n">
        <v>5.2</v>
      </c>
      <c r="H159" s="36" t="n">
        <f aca="false">F159*G159</f>
        <v>36.4</v>
      </c>
      <c r="I159" s="36" t="n">
        <f aca="false">INDEX(Inventory!$D$2:$D$17,MATCH(C159,Inventory!$A$2:$A$17,0))</f>
        <v>3.5</v>
      </c>
      <c r="J159" s="36" t="n">
        <f aca="false">F159*I159</f>
        <v>24.5</v>
      </c>
      <c r="K159" s="36" t="n">
        <f aca="false">H159-J159</f>
        <v>11.9</v>
      </c>
    </row>
    <row r="160" customFormat="false" ht="15" hidden="false" customHeight="false" outlineLevel="0" collapsed="false">
      <c r="A160" s="41" t="n">
        <v>46213</v>
      </c>
      <c r="B160" s="42" t="n">
        <f aca="false">DATE(YEAR(A160),MONTH(A160),1)</f>
        <v>46204</v>
      </c>
      <c r="C160" s="3" t="s">
        <v>65</v>
      </c>
      <c r="D160" s="3" t="s">
        <v>66</v>
      </c>
      <c r="E160" s="3" t="s">
        <v>29</v>
      </c>
      <c r="F160" s="3" t="n">
        <v>9</v>
      </c>
      <c r="G160" s="36" t="n">
        <v>1.5</v>
      </c>
      <c r="H160" s="36" t="n">
        <f aca="false">F160*G160</f>
        <v>13.5</v>
      </c>
      <c r="I160" s="36" t="n">
        <f aca="false">INDEX(Inventory!$D$2:$D$17,MATCH(C160,Inventory!$A$2:$A$17,0))</f>
        <v>0.9</v>
      </c>
      <c r="J160" s="36" t="n">
        <f aca="false">F160*I160</f>
        <v>8.1</v>
      </c>
      <c r="K160" s="36" t="n">
        <f aca="false">H160-J160</f>
        <v>5.4</v>
      </c>
    </row>
    <row r="161" customFormat="false" ht="15" hidden="false" customHeight="false" outlineLevel="0" collapsed="false">
      <c r="A161" s="41" t="n">
        <v>46213</v>
      </c>
      <c r="B161" s="42" t="n">
        <f aca="false">DATE(YEAR(A161),MONTH(A161),1)</f>
        <v>46204</v>
      </c>
      <c r="C161" s="3" t="s">
        <v>55</v>
      </c>
      <c r="D161" s="3" t="s">
        <v>56</v>
      </c>
      <c r="E161" s="3" t="s">
        <v>29</v>
      </c>
      <c r="F161" s="3" t="n">
        <v>9</v>
      </c>
      <c r="G161" s="36" t="n">
        <v>2.5</v>
      </c>
      <c r="H161" s="36" t="n">
        <f aca="false">F161*G161</f>
        <v>22.5</v>
      </c>
      <c r="I161" s="36" t="n">
        <f aca="false">INDEX(Inventory!$D$2:$D$17,MATCH(C161,Inventory!$A$2:$A$17,0))</f>
        <v>1.6</v>
      </c>
      <c r="J161" s="36" t="n">
        <f aca="false">F161*I161</f>
        <v>14.4</v>
      </c>
      <c r="K161" s="36" t="n">
        <f aca="false">H161-J161</f>
        <v>8.1</v>
      </c>
    </row>
    <row r="162" customFormat="false" ht="15" hidden="false" customHeight="false" outlineLevel="0" collapsed="false">
      <c r="A162" s="41" t="n">
        <v>46214</v>
      </c>
      <c r="B162" s="42" t="n">
        <f aca="false">DATE(YEAR(A162),MONTH(A162),1)</f>
        <v>46204</v>
      </c>
      <c r="C162" s="3" t="s">
        <v>39</v>
      </c>
      <c r="D162" s="3" t="s">
        <v>40</v>
      </c>
      <c r="E162" s="3" t="s">
        <v>27</v>
      </c>
      <c r="F162" s="3" t="n">
        <v>43</v>
      </c>
      <c r="G162" s="36" t="n">
        <v>1</v>
      </c>
      <c r="H162" s="36" t="n">
        <f aca="false">F162*G162</f>
        <v>43</v>
      </c>
      <c r="I162" s="36" t="n">
        <f aca="false">INDEX(Inventory!$D$2:$D$17,MATCH(C162,Inventory!$A$2:$A$17,0))</f>
        <v>0.6</v>
      </c>
      <c r="J162" s="36" t="n">
        <f aca="false">F162*I162</f>
        <v>25.8</v>
      </c>
      <c r="K162" s="36" t="n">
        <f aca="false">H162-J162</f>
        <v>17.2</v>
      </c>
    </row>
    <row r="163" customFormat="false" ht="15" hidden="false" customHeight="false" outlineLevel="0" collapsed="false">
      <c r="A163" s="41" t="n">
        <v>46214</v>
      </c>
      <c r="B163" s="42" t="n">
        <f aca="false">DATE(YEAR(A163),MONTH(A163),1)</f>
        <v>46204</v>
      </c>
      <c r="C163" s="3" t="s">
        <v>53</v>
      </c>
      <c r="D163" s="3" t="s">
        <v>54</v>
      </c>
      <c r="E163" s="3" t="s">
        <v>27</v>
      </c>
      <c r="F163" s="3" t="n">
        <v>27</v>
      </c>
      <c r="G163" s="36" t="n">
        <v>0.95</v>
      </c>
      <c r="H163" s="36" t="n">
        <f aca="false">F163*G163</f>
        <v>25.65</v>
      </c>
      <c r="I163" s="36" t="n">
        <f aca="false">INDEX(Inventory!$D$2:$D$17,MATCH(C163,Inventory!$A$2:$A$17,0))</f>
        <v>0.55</v>
      </c>
      <c r="J163" s="36" t="n">
        <f aca="false">F163*I163</f>
        <v>14.85</v>
      </c>
      <c r="K163" s="36" t="n">
        <f aca="false">H163-J163</f>
        <v>10.8</v>
      </c>
    </row>
    <row r="164" customFormat="false" ht="15" hidden="false" customHeight="false" outlineLevel="0" collapsed="false">
      <c r="A164" s="41" t="n">
        <v>46214</v>
      </c>
      <c r="B164" s="42" t="n">
        <f aca="false">DATE(YEAR(A164),MONTH(A164),1)</f>
        <v>46204</v>
      </c>
      <c r="C164" s="3" t="s">
        <v>59</v>
      </c>
      <c r="D164" s="3" t="s">
        <v>60</v>
      </c>
      <c r="E164" s="3" t="s">
        <v>27</v>
      </c>
      <c r="F164" s="3" t="n">
        <v>43</v>
      </c>
      <c r="G164" s="36" t="n">
        <v>0.6</v>
      </c>
      <c r="H164" s="36" t="n">
        <f aca="false">F164*G164</f>
        <v>25.8</v>
      </c>
      <c r="I164" s="36" t="n">
        <f aca="false">INDEX(Inventory!$D$2:$D$17,MATCH(C164,Inventory!$A$2:$A$17,0))</f>
        <v>0.3</v>
      </c>
      <c r="J164" s="36" t="n">
        <f aca="false">F164*I164</f>
        <v>12.9</v>
      </c>
      <c r="K164" s="36" t="n">
        <f aca="false">H164-J164</f>
        <v>12.9</v>
      </c>
    </row>
    <row r="165" customFormat="false" ht="15" hidden="false" customHeight="false" outlineLevel="0" collapsed="false">
      <c r="A165" s="41" t="n">
        <v>46214</v>
      </c>
      <c r="B165" s="42" t="n">
        <f aca="false">DATE(YEAR(A165),MONTH(A165),1)</f>
        <v>46204</v>
      </c>
      <c r="C165" s="3" t="s">
        <v>57</v>
      </c>
      <c r="D165" s="3" t="s">
        <v>58</v>
      </c>
      <c r="E165" s="3" t="s">
        <v>27</v>
      </c>
      <c r="F165" s="3" t="n">
        <v>23</v>
      </c>
      <c r="G165" s="36" t="n">
        <v>1.5</v>
      </c>
      <c r="H165" s="36" t="n">
        <f aca="false">F165*G165</f>
        <v>34.5</v>
      </c>
      <c r="I165" s="36" t="n">
        <f aca="false">INDEX(Inventory!$D$2:$D$17,MATCH(C165,Inventory!$A$2:$A$17,0))</f>
        <v>0.9</v>
      </c>
      <c r="J165" s="36" t="n">
        <f aca="false">F165*I165</f>
        <v>20.7</v>
      </c>
      <c r="K165" s="36" t="n">
        <f aca="false">H165-J165</f>
        <v>13.8</v>
      </c>
    </row>
    <row r="166" customFormat="false" ht="15" hidden="false" customHeight="false" outlineLevel="0" collapsed="false">
      <c r="A166" s="41" t="n">
        <v>46214</v>
      </c>
      <c r="B166" s="42" t="n">
        <f aca="false">DATE(YEAR(A166),MONTH(A166),1)</f>
        <v>46204</v>
      </c>
      <c r="C166" s="3" t="s">
        <v>41</v>
      </c>
      <c r="D166" s="3" t="s">
        <v>42</v>
      </c>
      <c r="E166" s="3" t="s">
        <v>28</v>
      </c>
      <c r="F166" s="3" t="n">
        <v>28</v>
      </c>
      <c r="G166" s="36" t="n">
        <v>1.3</v>
      </c>
      <c r="H166" s="36" t="n">
        <f aca="false">F166*G166</f>
        <v>36.4</v>
      </c>
      <c r="I166" s="36" t="n">
        <f aca="false">INDEX(Inventory!$D$2:$D$17,MATCH(C166,Inventory!$A$2:$A$17,0))</f>
        <v>0.8</v>
      </c>
      <c r="J166" s="36" t="n">
        <f aca="false">F166*I166</f>
        <v>22.4</v>
      </c>
      <c r="K166" s="36" t="n">
        <f aca="false">H166-J166</f>
        <v>14</v>
      </c>
    </row>
    <row r="167" customFormat="false" ht="15" hidden="false" customHeight="false" outlineLevel="0" collapsed="false">
      <c r="A167" s="41" t="n">
        <v>46214</v>
      </c>
      <c r="B167" s="42" t="n">
        <f aca="false">DATE(YEAR(A167),MONTH(A167),1)</f>
        <v>46204</v>
      </c>
      <c r="C167" s="3" t="s">
        <v>63</v>
      </c>
      <c r="D167" s="3" t="s">
        <v>64</v>
      </c>
      <c r="E167" s="3" t="s">
        <v>28</v>
      </c>
      <c r="F167" s="3" t="n">
        <v>18</v>
      </c>
      <c r="G167" s="36" t="n">
        <v>0.9</v>
      </c>
      <c r="H167" s="36" t="n">
        <f aca="false">F167*G167</f>
        <v>16.2</v>
      </c>
      <c r="I167" s="36" t="n">
        <f aca="false">INDEX(Inventory!$D$2:$D$17,MATCH(C167,Inventory!$A$2:$A$17,0))</f>
        <v>0.5</v>
      </c>
      <c r="J167" s="36" t="n">
        <f aca="false">F167*I167</f>
        <v>9</v>
      </c>
      <c r="K167" s="36" t="n">
        <f aca="false">H167-J167</f>
        <v>7.2</v>
      </c>
    </row>
    <row r="168" customFormat="false" ht="15" hidden="false" customHeight="false" outlineLevel="0" collapsed="false">
      <c r="A168" s="41" t="n">
        <v>46214</v>
      </c>
      <c r="B168" s="42" t="n">
        <f aca="false">DATE(YEAR(A168),MONTH(A168),1)</f>
        <v>46204</v>
      </c>
      <c r="C168" s="3" t="s">
        <v>49</v>
      </c>
      <c r="D168" s="3" t="s">
        <v>50</v>
      </c>
      <c r="E168" s="3" t="s">
        <v>28</v>
      </c>
      <c r="F168" s="3" t="n">
        <v>22</v>
      </c>
      <c r="G168" s="36" t="n">
        <v>1.2</v>
      </c>
      <c r="H168" s="36" t="n">
        <f aca="false">F168*G168</f>
        <v>26.4</v>
      </c>
      <c r="I168" s="36" t="n">
        <f aca="false">INDEX(Inventory!$D$2:$D$17,MATCH(C168,Inventory!$A$2:$A$17,0))</f>
        <v>0.7</v>
      </c>
      <c r="J168" s="36" t="n">
        <f aca="false">F168*I168</f>
        <v>15.4</v>
      </c>
      <c r="K168" s="36" t="n">
        <f aca="false">H168-J168</f>
        <v>11</v>
      </c>
    </row>
    <row r="169" customFormat="false" ht="15" hidden="false" customHeight="false" outlineLevel="0" collapsed="false">
      <c r="A169" s="41" t="n">
        <v>46214</v>
      </c>
      <c r="B169" s="42" t="n">
        <f aca="false">DATE(YEAR(A169),MONTH(A169),1)</f>
        <v>46204</v>
      </c>
      <c r="C169" s="3" t="s">
        <v>51</v>
      </c>
      <c r="D169" s="3" t="s">
        <v>52</v>
      </c>
      <c r="E169" s="3" t="s">
        <v>28</v>
      </c>
      <c r="F169" s="3" t="n">
        <v>38</v>
      </c>
      <c r="G169" s="36" t="n">
        <v>0.85</v>
      </c>
      <c r="H169" s="36" t="n">
        <f aca="false">F169*G169</f>
        <v>32.3</v>
      </c>
      <c r="I169" s="36" t="n">
        <f aca="false">INDEX(Inventory!$D$2:$D$17,MATCH(C169,Inventory!$A$2:$A$17,0))</f>
        <v>0.45</v>
      </c>
      <c r="J169" s="36" t="n">
        <f aca="false">F169*I169</f>
        <v>17.1</v>
      </c>
      <c r="K169" s="36" t="n">
        <f aca="false">H169-J169</f>
        <v>15.2</v>
      </c>
    </row>
    <row r="170" customFormat="false" ht="15" hidden="false" customHeight="false" outlineLevel="0" collapsed="false">
      <c r="A170" s="41" t="n">
        <v>46214</v>
      </c>
      <c r="B170" s="42" t="n">
        <f aca="false">DATE(YEAR(A170),MONTH(A170),1)</f>
        <v>46204</v>
      </c>
      <c r="C170" s="3" t="s">
        <v>37</v>
      </c>
      <c r="D170" s="3" t="s">
        <v>38</v>
      </c>
      <c r="E170" s="3" t="s">
        <v>26</v>
      </c>
      <c r="F170" s="3" t="n">
        <v>33</v>
      </c>
      <c r="G170" s="36" t="n">
        <v>1.2</v>
      </c>
      <c r="H170" s="36" t="n">
        <f aca="false">F170*G170</f>
        <v>39.6</v>
      </c>
      <c r="I170" s="36" t="n">
        <f aca="false">INDEX(Inventory!$D$2:$D$17,MATCH(C170,Inventory!$A$2:$A$17,0))</f>
        <v>0.85</v>
      </c>
      <c r="J170" s="36" t="n">
        <f aca="false">F170*I170</f>
        <v>28.05</v>
      </c>
      <c r="K170" s="36" t="n">
        <f aca="false">H170-J170</f>
        <v>11.55</v>
      </c>
    </row>
    <row r="171" customFormat="false" ht="15" hidden="false" customHeight="false" outlineLevel="0" collapsed="false">
      <c r="A171" s="41" t="n">
        <v>46214</v>
      </c>
      <c r="B171" s="42" t="n">
        <f aca="false">DATE(YEAR(A171),MONTH(A171),1)</f>
        <v>46204</v>
      </c>
      <c r="C171" s="3" t="s">
        <v>47</v>
      </c>
      <c r="D171" s="3" t="s">
        <v>48</v>
      </c>
      <c r="E171" s="3" t="s">
        <v>26</v>
      </c>
      <c r="F171" s="3" t="n">
        <v>15</v>
      </c>
      <c r="G171" s="36" t="n">
        <v>2.2</v>
      </c>
      <c r="H171" s="36" t="n">
        <f aca="false">F171*G171</f>
        <v>33</v>
      </c>
      <c r="I171" s="36" t="n">
        <f aca="false">INDEX(Inventory!$D$2:$D$17,MATCH(C171,Inventory!$A$2:$A$17,0))</f>
        <v>1.4</v>
      </c>
      <c r="J171" s="36" t="n">
        <f aca="false">F171*I171</f>
        <v>21</v>
      </c>
      <c r="K171" s="36" t="n">
        <f aca="false">H171-J171</f>
        <v>12</v>
      </c>
    </row>
    <row r="172" customFormat="false" ht="15" hidden="false" customHeight="false" outlineLevel="0" collapsed="false">
      <c r="A172" s="41" t="n">
        <v>46214</v>
      </c>
      <c r="B172" s="42" t="n">
        <f aca="false">DATE(YEAR(A172),MONTH(A172),1)</f>
        <v>46204</v>
      </c>
      <c r="C172" s="3" t="s">
        <v>43</v>
      </c>
      <c r="D172" s="3" t="s">
        <v>44</v>
      </c>
      <c r="E172" s="3" t="s">
        <v>26</v>
      </c>
      <c r="F172" s="3" t="n">
        <v>12</v>
      </c>
      <c r="G172" s="36" t="n">
        <v>3.8</v>
      </c>
      <c r="H172" s="36" t="n">
        <f aca="false">F172*G172</f>
        <v>45.6</v>
      </c>
      <c r="I172" s="36" t="n">
        <f aca="false">INDEX(Inventory!$D$2:$D$17,MATCH(C172,Inventory!$A$2:$A$17,0))</f>
        <v>2.6</v>
      </c>
      <c r="J172" s="36" t="n">
        <f aca="false">F172*I172</f>
        <v>31.2</v>
      </c>
      <c r="K172" s="36" t="n">
        <f aca="false">H172-J172</f>
        <v>14.4</v>
      </c>
    </row>
    <row r="173" customFormat="false" ht="15" hidden="false" customHeight="false" outlineLevel="0" collapsed="false">
      <c r="A173" s="41" t="n">
        <v>46214</v>
      </c>
      <c r="B173" s="42" t="n">
        <f aca="false">DATE(YEAR(A173),MONTH(A173),1)</f>
        <v>46204</v>
      </c>
      <c r="C173" s="3" t="s">
        <v>67</v>
      </c>
      <c r="D173" s="3" t="s">
        <v>68</v>
      </c>
      <c r="E173" s="3" t="s">
        <v>26</v>
      </c>
      <c r="F173" s="3" t="n">
        <v>7</v>
      </c>
      <c r="G173" s="36" t="n">
        <v>1.9</v>
      </c>
      <c r="H173" s="36" t="n">
        <f aca="false">F173*G173</f>
        <v>13.3</v>
      </c>
      <c r="I173" s="36" t="n">
        <f aca="false">INDEX(Inventory!$D$2:$D$17,MATCH(C173,Inventory!$A$2:$A$17,0))</f>
        <v>1.3</v>
      </c>
      <c r="J173" s="36" t="n">
        <f aca="false">F173*I173</f>
        <v>9.1</v>
      </c>
      <c r="K173" s="36" t="n">
        <f aca="false">H173-J173</f>
        <v>4.2</v>
      </c>
    </row>
    <row r="174" customFormat="false" ht="15" hidden="false" customHeight="false" outlineLevel="0" collapsed="false">
      <c r="A174" s="41" t="n">
        <v>46214</v>
      </c>
      <c r="B174" s="42" t="n">
        <f aca="false">DATE(YEAR(A174),MONTH(A174),1)</f>
        <v>46204</v>
      </c>
      <c r="C174" s="3" t="s">
        <v>61</v>
      </c>
      <c r="D174" s="3" t="s">
        <v>62</v>
      </c>
      <c r="E174" s="3" t="s">
        <v>29</v>
      </c>
      <c r="F174" s="3" t="n">
        <v>8</v>
      </c>
      <c r="G174" s="36" t="n">
        <v>1.9</v>
      </c>
      <c r="H174" s="36" t="n">
        <f aca="false">F174*G174</f>
        <v>15.2</v>
      </c>
      <c r="I174" s="36" t="n">
        <f aca="false">INDEX(Inventory!$D$2:$D$17,MATCH(C174,Inventory!$A$2:$A$17,0))</f>
        <v>1.1</v>
      </c>
      <c r="J174" s="36" t="n">
        <f aca="false">F174*I174</f>
        <v>8.8</v>
      </c>
      <c r="K174" s="36" t="n">
        <f aca="false">H174-J174</f>
        <v>6.4</v>
      </c>
    </row>
    <row r="175" customFormat="false" ht="15" hidden="false" customHeight="false" outlineLevel="0" collapsed="false">
      <c r="A175" s="41" t="n">
        <v>46214</v>
      </c>
      <c r="B175" s="42" t="n">
        <f aca="false">DATE(YEAR(A175),MONTH(A175),1)</f>
        <v>46204</v>
      </c>
      <c r="C175" s="3" t="s">
        <v>45</v>
      </c>
      <c r="D175" s="3" t="s">
        <v>46</v>
      </c>
      <c r="E175" s="3" t="s">
        <v>29</v>
      </c>
      <c r="F175" s="3" t="n">
        <v>7</v>
      </c>
      <c r="G175" s="36" t="n">
        <v>5.2</v>
      </c>
      <c r="H175" s="36" t="n">
        <f aca="false">F175*G175</f>
        <v>36.4</v>
      </c>
      <c r="I175" s="36" t="n">
        <f aca="false">INDEX(Inventory!$D$2:$D$17,MATCH(C175,Inventory!$A$2:$A$17,0))</f>
        <v>3.5</v>
      </c>
      <c r="J175" s="36" t="n">
        <f aca="false">F175*I175</f>
        <v>24.5</v>
      </c>
      <c r="K175" s="36" t="n">
        <f aca="false">H175-J175</f>
        <v>11.9</v>
      </c>
    </row>
    <row r="176" customFormat="false" ht="15" hidden="false" customHeight="false" outlineLevel="0" collapsed="false">
      <c r="A176" s="41" t="n">
        <v>46214</v>
      </c>
      <c r="B176" s="42" t="n">
        <f aca="false">DATE(YEAR(A176),MONTH(A176),1)</f>
        <v>46204</v>
      </c>
      <c r="C176" s="3" t="s">
        <v>65</v>
      </c>
      <c r="D176" s="3" t="s">
        <v>66</v>
      </c>
      <c r="E176" s="3" t="s">
        <v>29</v>
      </c>
      <c r="F176" s="3" t="n">
        <v>11</v>
      </c>
      <c r="G176" s="36" t="n">
        <v>1.5</v>
      </c>
      <c r="H176" s="36" t="n">
        <f aca="false">F176*G176</f>
        <v>16.5</v>
      </c>
      <c r="I176" s="36" t="n">
        <f aca="false">INDEX(Inventory!$D$2:$D$17,MATCH(C176,Inventory!$A$2:$A$17,0))</f>
        <v>0.9</v>
      </c>
      <c r="J176" s="36" t="n">
        <f aca="false">F176*I176</f>
        <v>9.9</v>
      </c>
      <c r="K176" s="36" t="n">
        <f aca="false">H176-J176</f>
        <v>6.6</v>
      </c>
    </row>
    <row r="177" customFormat="false" ht="15" hidden="false" customHeight="false" outlineLevel="0" collapsed="false">
      <c r="A177" s="41" t="n">
        <v>46214</v>
      </c>
      <c r="B177" s="42" t="n">
        <f aca="false">DATE(YEAR(A177),MONTH(A177),1)</f>
        <v>46204</v>
      </c>
      <c r="C177" s="3" t="s">
        <v>55</v>
      </c>
      <c r="D177" s="3" t="s">
        <v>56</v>
      </c>
      <c r="E177" s="3" t="s">
        <v>29</v>
      </c>
      <c r="F177" s="3" t="n">
        <v>8</v>
      </c>
      <c r="G177" s="36" t="n">
        <v>2.5</v>
      </c>
      <c r="H177" s="36" t="n">
        <f aca="false">F177*G177</f>
        <v>20</v>
      </c>
      <c r="I177" s="36" t="n">
        <f aca="false">INDEX(Inventory!$D$2:$D$17,MATCH(C177,Inventory!$A$2:$A$17,0))</f>
        <v>1.6</v>
      </c>
      <c r="J177" s="36" t="n">
        <f aca="false">F177*I177</f>
        <v>12.8</v>
      </c>
      <c r="K177" s="36" t="n">
        <f aca="false">H177-J177</f>
        <v>7.2</v>
      </c>
    </row>
    <row r="178" customFormat="false" ht="15" hidden="false" customHeight="false" outlineLevel="0" collapsed="false">
      <c r="A178" s="41" t="n">
        <v>46215</v>
      </c>
      <c r="B178" s="42" t="n">
        <f aca="false">DATE(YEAR(A178),MONTH(A178),1)</f>
        <v>46204</v>
      </c>
      <c r="C178" s="3" t="s">
        <v>39</v>
      </c>
      <c r="D178" s="3" t="s">
        <v>40</v>
      </c>
      <c r="E178" s="3" t="s">
        <v>27</v>
      </c>
      <c r="F178" s="3" t="n">
        <v>39</v>
      </c>
      <c r="G178" s="36" t="n">
        <v>1</v>
      </c>
      <c r="H178" s="36" t="n">
        <f aca="false">F178*G178</f>
        <v>39</v>
      </c>
      <c r="I178" s="36" t="n">
        <f aca="false">INDEX(Inventory!$D$2:$D$17,MATCH(C178,Inventory!$A$2:$A$17,0))</f>
        <v>0.6</v>
      </c>
      <c r="J178" s="36" t="n">
        <f aca="false">F178*I178</f>
        <v>23.4</v>
      </c>
      <c r="K178" s="36" t="n">
        <f aca="false">H178-J178</f>
        <v>15.6</v>
      </c>
    </row>
    <row r="179" customFormat="false" ht="15" hidden="false" customHeight="false" outlineLevel="0" collapsed="false">
      <c r="A179" s="41" t="n">
        <v>46215</v>
      </c>
      <c r="B179" s="42" t="n">
        <f aca="false">DATE(YEAR(A179),MONTH(A179),1)</f>
        <v>46204</v>
      </c>
      <c r="C179" s="3" t="s">
        <v>53</v>
      </c>
      <c r="D179" s="3" t="s">
        <v>54</v>
      </c>
      <c r="E179" s="3" t="s">
        <v>27</v>
      </c>
      <c r="F179" s="3" t="n">
        <v>26</v>
      </c>
      <c r="G179" s="36" t="n">
        <v>0.95</v>
      </c>
      <c r="H179" s="36" t="n">
        <f aca="false">F179*G179</f>
        <v>24.7</v>
      </c>
      <c r="I179" s="36" t="n">
        <f aca="false">INDEX(Inventory!$D$2:$D$17,MATCH(C179,Inventory!$A$2:$A$17,0))</f>
        <v>0.55</v>
      </c>
      <c r="J179" s="36" t="n">
        <f aca="false">F179*I179</f>
        <v>14.3</v>
      </c>
      <c r="K179" s="36" t="n">
        <f aca="false">H179-J179</f>
        <v>10.4</v>
      </c>
    </row>
    <row r="180" customFormat="false" ht="15" hidden="false" customHeight="false" outlineLevel="0" collapsed="false">
      <c r="A180" s="41" t="n">
        <v>46215</v>
      </c>
      <c r="B180" s="42" t="n">
        <f aca="false">DATE(YEAR(A180),MONTH(A180),1)</f>
        <v>46204</v>
      </c>
      <c r="C180" s="3" t="s">
        <v>59</v>
      </c>
      <c r="D180" s="3" t="s">
        <v>60</v>
      </c>
      <c r="E180" s="3" t="s">
        <v>27</v>
      </c>
      <c r="F180" s="3" t="n">
        <v>32</v>
      </c>
      <c r="G180" s="36" t="n">
        <v>0.6</v>
      </c>
      <c r="H180" s="36" t="n">
        <f aca="false">F180*G180</f>
        <v>19.2</v>
      </c>
      <c r="I180" s="36" t="n">
        <f aca="false">INDEX(Inventory!$D$2:$D$17,MATCH(C180,Inventory!$A$2:$A$17,0))</f>
        <v>0.3</v>
      </c>
      <c r="J180" s="36" t="n">
        <f aca="false">F180*I180</f>
        <v>9.6</v>
      </c>
      <c r="K180" s="36" t="n">
        <f aca="false">H180-J180</f>
        <v>9.6</v>
      </c>
    </row>
    <row r="181" customFormat="false" ht="15" hidden="false" customHeight="false" outlineLevel="0" collapsed="false">
      <c r="A181" s="41" t="n">
        <v>46215</v>
      </c>
      <c r="B181" s="42" t="n">
        <f aca="false">DATE(YEAR(A181),MONTH(A181),1)</f>
        <v>46204</v>
      </c>
      <c r="C181" s="3" t="s">
        <v>57</v>
      </c>
      <c r="D181" s="3" t="s">
        <v>58</v>
      </c>
      <c r="E181" s="3" t="s">
        <v>27</v>
      </c>
      <c r="F181" s="3" t="n">
        <v>17</v>
      </c>
      <c r="G181" s="36" t="n">
        <v>1.5</v>
      </c>
      <c r="H181" s="36" t="n">
        <f aca="false">F181*G181</f>
        <v>25.5</v>
      </c>
      <c r="I181" s="36" t="n">
        <f aca="false">INDEX(Inventory!$D$2:$D$17,MATCH(C181,Inventory!$A$2:$A$17,0))</f>
        <v>0.9</v>
      </c>
      <c r="J181" s="36" t="n">
        <f aca="false">F181*I181</f>
        <v>15.3</v>
      </c>
      <c r="K181" s="36" t="n">
        <f aca="false">H181-J181</f>
        <v>10.2</v>
      </c>
    </row>
    <row r="182" customFormat="false" ht="15" hidden="false" customHeight="false" outlineLevel="0" collapsed="false">
      <c r="A182" s="41" t="n">
        <v>46215</v>
      </c>
      <c r="B182" s="42" t="n">
        <f aca="false">DATE(YEAR(A182),MONTH(A182),1)</f>
        <v>46204</v>
      </c>
      <c r="C182" s="3" t="s">
        <v>41</v>
      </c>
      <c r="D182" s="3" t="s">
        <v>42</v>
      </c>
      <c r="E182" s="3" t="s">
        <v>28</v>
      </c>
      <c r="F182" s="3" t="n">
        <v>25</v>
      </c>
      <c r="G182" s="36" t="n">
        <v>1.3</v>
      </c>
      <c r="H182" s="36" t="n">
        <f aca="false">F182*G182</f>
        <v>32.5</v>
      </c>
      <c r="I182" s="36" t="n">
        <f aca="false">INDEX(Inventory!$D$2:$D$17,MATCH(C182,Inventory!$A$2:$A$17,0))</f>
        <v>0.8</v>
      </c>
      <c r="J182" s="36" t="n">
        <f aca="false">F182*I182</f>
        <v>20</v>
      </c>
      <c r="K182" s="36" t="n">
        <f aca="false">H182-J182</f>
        <v>12.5</v>
      </c>
    </row>
    <row r="183" customFormat="false" ht="15" hidden="false" customHeight="false" outlineLevel="0" collapsed="false">
      <c r="A183" s="41" t="n">
        <v>46215</v>
      </c>
      <c r="B183" s="42" t="n">
        <f aca="false">DATE(YEAR(A183),MONTH(A183),1)</f>
        <v>46204</v>
      </c>
      <c r="C183" s="3" t="s">
        <v>63</v>
      </c>
      <c r="D183" s="3" t="s">
        <v>64</v>
      </c>
      <c r="E183" s="3" t="s">
        <v>28</v>
      </c>
      <c r="F183" s="3" t="n">
        <v>13</v>
      </c>
      <c r="G183" s="36" t="n">
        <v>0.9</v>
      </c>
      <c r="H183" s="36" t="n">
        <f aca="false">F183*G183</f>
        <v>11.7</v>
      </c>
      <c r="I183" s="36" t="n">
        <f aca="false">INDEX(Inventory!$D$2:$D$17,MATCH(C183,Inventory!$A$2:$A$17,0))</f>
        <v>0.5</v>
      </c>
      <c r="J183" s="36" t="n">
        <f aca="false">F183*I183</f>
        <v>6.5</v>
      </c>
      <c r="K183" s="36" t="n">
        <f aca="false">H183-J183</f>
        <v>5.2</v>
      </c>
    </row>
    <row r="184" customFormat="false" ht="15" hidden="false" customHeight="false" outlineLevel="0" collapsed="false">
      <c r="A184" s="41" t="n">
        <v>46215</v>
      </c>
      <c r="B184" s="42" t="n">
        <f aca="false">DATE(YEAR(A184),MONTH(A184),1)</f>
        <v>46204</v>
      </c>
      <c r="C184" s="3" t="s">
        <v>49</v>
      </c>
      <c r="D184" s="3" t="s">
        <v>50</v>
      </c>
      <c r="E184" s="3" t="s">
        <v>28</v>
      </c>
      <c r="F184" s="3" t="n">
        <v>23</v>
      </c>
      <c r="G184" s="36" t="n">
        <v>1.2</v>
      </c>
      <c r="H184" s="36" t="n">
        <f aca="false">F184*G184</f>
        <v>27.6</v>
      </c>
      <c r="I184" s="36" t="n">
        <f aca="false">INDEX(Inventory!$D$2:$D$17,MATCH(C184,Inventory!$A$2:$A$17,0))</f>
        <v>0.7</v>
      </c>
      <c r="J184" s="36" t="n">
        <f aca="false">F184*I184</f>
        <v>16.1</v>
      </c>
      <c r="K184" s="36" t="n">
        <f aca="false">H184-J184</f>
        <v>11.5</v>
      </c>
    </row>
    <row r="185" customFormat="false" ht="15" hidden="false" customHeight="false" outlineLevel="0" collapsed="false">
      <c r="A185" s="41" t="n">
        <v>46215</v>
      </c>
      <c r="B185" s="42" t="n">
        <f aca="false">DATE(YEAR(A185),MONTH(A185),1)</f>
        <v>46204</v>
      </c>
      <c r="C185" s="3" t="s">
        <v>51</v>
      </c>
      <c r="D185" s="3" t="s">
        <v>52</v>
      </c>
      <c r="E185" s="3" t="s">
        <v>28</v>
      </c>
      <c r="F185" s="3" t="n">
        <v>28</v>
      </c>
      <c r="G185" s="36" t="n">
        <v>0.85</v>
      </c>
      <c r="H185" s="36" t="n">
        <f aca="false">F185*G185</f>
        <v>23.8</v>
      </c>
      <c r="I185" s="36" t="n">
        <f aca="false">INDEX(Inventory!$D$2:$D$17,MATCH(C185,Inventory!$A$2:$A$17,0))</f>
        <v>0.45</v>
      </c>
      <c r="J185" s="36" t="n">
        <f aca="false">F185*I185</f>
        <v>12.6</v>
      </c>
      <c r="K185" s="36" t="n">
        <f aca="false">H185-J185</f>
        <v>11.2</v>
      </c>
    </row>
    <row r="186" customFormat="false" ht="15" hidden="false" customHeight="false" outlineLevel="0" collapsed="false">
      <c r="A186" s="41" t="n">
        <v>46215</v>
      </c>
      <c r="B186" s="42" t="n">
        <f aca="false">DATE(YEAR(A186),MONTH(A186),1)</f>
        <v>46204</v>
      </c>
      <c r="C186" s="3" t="s">
        <v>37</v>
      </c>
      <c r="D186" s="3" t="s">
        <v>38</v>
      </c>
      <c r="E186" s="3" t="s">
        <v>26</v>
      </c>
      <c r="F186" s="3" t="n">
        <v>27</v>
      </c>
      <c r="G186" s="36" t="n">
        <v>1.2</v>
      </c>
      <c r="H186" s="36" t="n">
        <f aca="false">F186*G186</f>
        <v>32.4</v>
      </c>
      <c r="I186" s="36" t="n">
        <f aca="false">INDEX(Inventory!$D$2:$D$17,MATCH(C186,Inventory!$A$2:$A$17,0))</f>
        <v>0.85</v>
      </c>
      <c r="J186" s="36" t="n">
        <f aca="false">F186*I186</f>
        <v>22.95</v>
      </c>
      <c r="K186" s="36" t="n">
        <f aca="false">H186-J186</f>
        <v>9.45</v>
      </c>
    </row>
    <row r="187" customFormat="false" ht="15" hidden="false" customHeight="false" outlineLevel="0" collapsed="false">
      <c r="A187" s="41" t="n">
        <v>46215</v>
      </c>
      <c r="B187" s="42" t="n">
        <f aca="false">DATE(YEAR(A187),MONTH(A187),1)</f>
        <v>46204</v>
      </c>
      <c r="C187" s="3" t="s">
        <v>47</v>
      </c>
      <c r="D187" s="3" t="s">
        <v>48</v>
      </c>
      <c r="E187" s="3" t="s">
        <v>26</v>
      </c>
      <c r="F187" s="3" t="n">
        <v>14</v>
      </c>
      <c r="G187" s="36" t="n">
        <v>2.2</v>
      </c>
      <c r="H187" s="36" t="n">
        <f aca="false">F187*G187</f>
        <v>30.8</v>
      </c>
      <c r="I187" s="36" t="n">
        <f aca="false">INDEX(Inventory!$D$2:$D$17,MATCH(C187,Inventory!$A$2:$A$17,0))</f>
        <v>1.4</v>
      </c>
      <c r="J187" s="36" t="n">
        <f aca="false">F187*I187</f>
        <v>19.6</v>
      </c>
      <c r="K187" s="36" t="n">
        <f aca="false">H187-J187</f>
        <v>11.2</v>
      </c>
    </row>
    <row r="188" customFormat="false" ht="15" hidden="false" customHeight="false" outlineLevel="0" collapsed="false">
      <c r="A188" s="41" t="n">
        <v>46215</v>
      </c>
      <c r="B188" s="42" t="n">
        <f aca="false">DATE(YEAR(A188),MONTH(A188),1)</f>
        <v>46204</v>
      </c>
      <c r="C188" s="3" t="s">
        <v>43</v>
      </c>
      <c r="D188" s="3" t="s">
        <v>44</v>
      </c>
      <c r="E188" s="3" t="s">
        <v>26</v>
      </c>
      <c r="F188" s="3" t="n">
        <v>10</v>
      </c>
      <c r="G188" s="36" t="n">
        <v>3.8</v>
      </c>
      <c r="H188" s="36" t="n">
        <f aca="false">F188*G188</f>
        <v>38</v>
      </c>
      <c r="I188" s="36" t="n">
        <f aca="false">INDEX(Inventory!$D$2:$D$17,MATCH(C188,Inventory!$A$2:$A$17,0))</f>
        <v>2.6</v>
      </c>
      <c r="J188" s="36" t="n">
        <f aca="false">F188*I188</f>
        <v>26</v>
      </c>
      <c r="K188" s="36" t="n">
        <f aca="false">H188-J188</f>
        <v>12</v>
      </c>
    </row>
    <row r="189" customFormat="false" ht="15" hidden="false" customHeight="false" outlineLevel="0" collapsed="false">
      <c r="A189" s="41" t="n">
        <v>46215</v>
      </c>
      <c r="B189" s="42" t="n">
        <f aca="false">DATE(YEAR(A189),MONTH(A189),1)</f>
        <v>46204</v>
      </c>
      <c r="C189" s="3" t="s">
        <v>67</v>
      </c>
      <c r="D189" s="3" t="s">
        <v>68</v>
      </c>
      <c r="E189" s="3" t="s">
        <v>26</v>
      </c>
      <c r="F189" s="3" t="n">
        <v>7</v>
      </c>
      <c r="G189" s="36" t="n">
        <v>1.9</v>
      </c>
      <c r="H189" s="36" t="n">
        <f aca="false">F189*G189</f>
        <v>13.3</v>
      </c>
      <c r="I189" s="36" t="n">
        <f aca="false">INDEX(Inventory!$D$2:$D$17,MATCH(C189,Inventory!$A$2:$A$17,0))</f>
        <v>1.3</v>
      </c>
      <c r="J189" s="36" t="n">
        <f aca="false">F189*I189</f>
        <v>9.1</v>
      </c>
      <c r="K189" s="36" t="n">
        <f aca="false">H189-J189</f>
        <v>4.2</v>
      </c>
    </row>
    <row r="190" customFormat="false" ht="15" hidden="false" customHeight="false" outlineLevel="0" collapsed="false">
      <c r="A190" s="41" t="n">
        <v>46215</v>
      </c>
      <c r="B190" s="42" t="n">
        <f aca="false">DATE(YEAR(A190),MONTH(A190),1)</f>
        <v>46204</v>
      </c>
      <c r="C190" s="3" t="s">
        <v>61</v>
      </c>
      <c r="D190" s="3" t="s">
        <v>62</v>
      </c>
      <c r="E190" s="3" t="s">
        <v>29</v>
      </c>
      <c r="F190" s="3" t="n">
        <v>13</v>
      </c>
      <c r="G190" s="36" t="n">
        <v>1.9</v>
      </c>
      <c r="H190" s="36" t="n">
        <f aca="false">F190*G190</f>
        <v>24.7</v>
      </c>
      <c r="I190" s="36" t="n">
        <f aca="false">INDEX(Inventory!$D$2:$D$17,MATCH(C190,Inventory!$A$2:$A$17,0))</f>
        <v>1.1</v>
      </c>
      <c r="J190" s="36" t="n">
        <f aca="false">F190*I190</f>
        <v>14.3</v>
      </c>
      <c r="K190" s="36" t="n">
        <f aca="false">H190-J190</f>
        <v>10.4</v>
      </c>
    </row>
    <row r="191" customFormat="false" ht="15" hidden="false" customHeight="false" outlineLevel="0" collapsed="false">
      <c r="A191" s="41" t="n">
        <v>46215</v>
      </c>
      <c r="B191" s="42" t="n">
        <f aca="false">DATE(YEAR(A191),MONTH(A191),1)</f>
        <v>46204</v>
      </c>
      <c r="C191" s="3" t="s">
        <v>45</v>
      </c>
      <c r="D191" s="3" t="s">
        <v>46</v>
      </c>
      <c r="E191" s="3" t="s">
        <v>29</v>
      </c>
      <c r="F191" s="3" t="n">
        <v>8</v>
      </c>
      <c r="G191" s="36" t="n">
        <v>5.2</v>
      </c>
      <c r="H191" s="36" t="n">
        <f aca="false">F191*G191</f>
        <v>41.6</v>
      </c>
      <c r="I191" s="36" t="n">
        <f aca="false">INDEX(Inventory!$D$2:$D$17,MATCH(C191,Inventory!$A$2:$A$17,0))</f>
        <v>3.5</v>
      </c>
      <c r="J191" s="36" t="n">
        <f aca="false">F191*I191</f>
        <v>28</v>
      </c>
      <c r="K191" s="36" t="n">
        <f aca="false">H191-J191</f>
        <v>13.6</v>
      </c>
    </row>
    <row r="192" customFormat="false" ht="15" hidden="false" customHeight="false" outlineLevel="0" collapsed="false">
      <c r="A192" s="41" t="n">
        <v>46215</v>
      </c>
      <c r="B192" s="42" t="n">
        <f aca="false">DATE(YEAR(A192),MONTH(A192),1)</f>
        <v>46204</v>
      </c>
      <c r="C192" s="3" t="s">
        <v>65</v>
      </c>
      <c r="D192" s="3" t="s">
        <v>66</v>
      </c>
      <c r="E192" s="3" t="s">
        <v>29</v>
      </c>
      <c r="F192" s="3" t="n">
        <v>9</v>
      </c>
      <c r="G192" s="36" t="n">
        <v>1.5</v>
      </c>
      <c r="H192" s="36" t="n">
        <f aca="false">F192*G192</f>
        <v>13.5</v>
      </c>
      <c r="I192" s="36" t="n">
        <f aca="false">INDEX(Inventory!$D$2:$D$17,MATCH(C192,Inventory!$A$2:$A$17,0))</f>
        <v>0.9</v>
      </c>
      <c r="J192" s="36" t="n">
        <f aca="false">F192*I192</f>
        <v>8.1</v>
      </c>
      <c r="K192" s="36" t="n">
        <f aca="false">H192-J192</f>
        <v>5.4</v>
      </c>
    </row>
    <row r="193" customFormat="false" ht="15" hidden="false" customHeight="false" outlineLevel="0" collapsed="false">
      <c r="A193" s="41" t="n">
        <v>46215</v>
      </c>
      <c r="B193" s="42" t="n">
        <f aca="false">DATE(YEAR(A193),MONTH(A193),1)</f>
        <v>46204</v>
      </c>
      <c r="C193" s="3" t="s">
        <v>55</v>
      </c>
      <c r="D193" s="3" t="s">
        <v>56</v>
      </c>
      <c r="E193" s="3" t="s">
        <v>29</v>
      </c>
      <c r="F193" s="3" t="n">
        <v>10</v>
      </c>
      <c r="G193" s="36" t="n">
        <v>2.5</v>
      </c>
      <c r="H193" s="36" t="n">
        <f aca="false">F193*G193</f>
        <v>25</v>
      </c>
      <c r="I193" s="36" t="n">
        <f aca="false">INDEX(Inventory!$D$2:$D$17,MATCH(C193,Inventory!$A$2:$A$17,0))</f>
        <v>1.6</v>
      </c>
      <c r="J193" s="36" t="n">
        <f aca="false">F193*I193</f>
        <v>16</v>
      </c>
      <c r="K193" s="36" t="n">
        <f aca="false">H193-J193</f>
        <v>9</v>
      </c>
    </row>
    <row r="194" customFormat="false" ht="15" hidden="false" customHeight="false" outlineLevel="0" collapsed="false">
      <c r="A194" s="41" t="n">
        <v>46216</v>
      </c>
      <c r="B194" s="42" t="n">
        <f aca="false">DATE(YEAR(A194),MONTH(A194),1)</f>
        <v>46204</v>
      </c>
      <c r="C194" s="3" t="s">
        <v>39</v>
      </c>
      <c r="D194" s="3" t="s">
        <v>40</v>
      </c>
      <c r="E194" s="3" t="s">
        <v>27</v>
      </c>
      <c r="F194" s="3" t="n">
        <v>26</v>
      </c>
      <c r="G194" s="36" t="n">
        <v>1</v>
      </c>
      <c r="H194" s="36" t="n">
        <f aca="false">F194*G194</f>
        <v>26</v>
      </c>
      <c r="I194" s="36" t="n">
        <f aca="false">INDEX(Inventory!$D$2:$D$17,MATCH(C194,Inventory!$A$2:$A$17,0))</f>
        <v>0.6</v>
      </c>
      <c r="J194" s="36" t="n">
        <f aca="false">F194*I194</f>
        <v>15.6</v>
      </c>
      <c r="K194" s="36" t="n">
        <f aca="false">H194-J194</f>
        <v>10.4</v>
      </c>
    </row>
    <row r="195" customFormat="false" ht="15" hidden="false" customHeight="false" outlineLevel="0" collapsed="false">
      <c r="A195" s="41" t="n">
        <v>46216</v>
      </c>
      <c r="B195" s="42" t="n">
        <f aca="false">DATE(YEAR(A195),MONTH(A195),1)</f>
        <v>46204</v>
      </c>
      <c r="C195" s="3" t="s">
        <v>53</v>
      </c>
      <c r="D195" s="3" t="s">
        <v>54</v>
      </c>
      <c r="E195" s="3" t="s">
        <v>27</v>
      </c>
      <c r="F195" s="3" t="n">
        <v>28</v>
      </c>
      <c r="G195" s="36" t="n">
        <v>0.95</v>
      </c>
      <c r="H195" s="36" t="n">
        <f aca="false">F195*G195</f>
        <v>26.6</v>
      </c>
      <c r="I195" s="36" t="n">
        <f aca="false">INDEX(Inventory!$D$2:$D$17,MATCH(C195,Inventory!$A$2:$A$17,0))</f>
        <v>0.55</v>
      </c>
      <c r="J195" s="36" t="n">
        <f aca="false">F195*I195</f>
        <v>15.4</v>
      </c>
      <c r="K195" s="36" t="n">
        <f aca="false">H195-J195</f>
        <v>11.2</v>
      </c>
    </row>
    <row r="196" customFormat="false" ht="15" hidden="false" customHeight="false" outlineLevel="0" collapsed="false">
      <c r="A196" s="41" t="n">
        <v>46216</v>
      </c>
      <c r="B196" s="42" t="n">
        <f aca="false">DATE(YEAR(A196),MONTH(A196),1)</f>
        <v>46204</v>
      </c>
      <c r="C196" s="3" t="s">
        <v>59</v>
      </c>
      <c r="D196" s="3" t="s">
        <v>60</v>
      </c>
      <c r="E196" s="3" t="s">
        <v>27</v>
      </c>
      <c r="F196" s="3" t="n">
        <v>16</v>
      </c>
      <c r="G196" s="36" t="n">
        <v>0.6</v>
      </c>
      <c r="H196" s="36" t="n">
        <f aca="false">F196*G196</f>
        <v>9.6</v>
      </c>
      <c r="I196" s="36" t="n">
        <f aca="false">INDEX(Inventory!$D$2:$D$17,MATCH(C196,Inventory!$A$2:$A$17,0))</f>
        <v>0.3</v>
      </c>
      <c r="J196" s="36" t="n">
        <f aca="false">F196*I196</f>
        <v>4.8</v>
      </c>
      <c r="K196" s="36" t="n">
        <f aca="false">H196-J196</f>
        <v>4.8</v>
      </c>
    </row>
    <row r="197" customFormat="false" ht="15" hidden="false" customHeight="false" outlineLevel="0" collapsed="false">
      <c r="A197" s="41" t="n">
        <v>46216</v>
      </c>
      <c r="B197" s="42" t="n">
        <f aca="false">DATE(YEAR(A197),MONTH(A197),1)</f>
        <v>46204</v>
      </c>
      <c r="C197" s="3" t="s">
        <v>57</v>
      </c>
      <c r="D197" s="3" t="s">
        <v>58</v>
      </c>
      <c r="E197" s="3" t="s">
        <v>27</v>
      </c>
      <c r="F197" s="3" t="n">
        <v>14</v>
      </c>
      <c r="G197" s="36" t="n">
        <v>1.5</v>
      </c>
      <c r="H197" s="36" t="n">
        <f aca="false">F197*G197</f>
        <v>21</v>
      </c>
      <c r="I197" s="36" t="n">
        <f aca="false">INDEX(Inventory!$D$2:$D$17,MATCH(C197,Inventory!$A$2:$A$17,0))</f>
        <v>0.9</v>
      </c>
      <c r="J197" s="36" t="n">
        <f aca="false">F197*I197</f>
        <v>12.6</v>
      </c>
      <c r="K197" s="36" t="n">
        <f aca="false">H197-J197</f>
        <v>8.4</v>
      </c>
    </row>
    <row r="198" customFormat="false" ht="15" hidden="false" customHeight="false" outlineLevel="0" collapsed="false">
      <c r="A198" s="41" t="n">
        <v>46216</v>
      </c>
      <c r="B198" s="42" t="n">
        <f aca="false">DATE(YEAR(A198),MONTH(A198),1)</f>
        <v>46204</v>
      </c>
      <c r="C198" s="3" t="s">
        <v>41</v>
      </c>
      <c r="D198" s="3" t="s">
        <v>42</v>
      </c>
      <c r="E198" s="3" t="s">
        <v>28</v>
      </c>
      <c r="F198" s="3" t="n">
        <v>18</v>
      </c>
      <c r="G198" s="36" t="n">
        <v>1.3</v>
      </c>
      <c r="H198" s="36" t="n">
        <f aca="false">F198*G198</f>
        <v>23.4</v>
      </c>
      <c r="I198" s="36" t="n">
        <f aca="false">INDEX(Inventory!$D$2:$D$17,MATCH(C198,Inventory!$A$2:$A$17,0))</f>
        <v>0.8</v>
      </c>
      <c r="J198" s="36" t="n">
        <f aca="false">F198*I198</f>
        <v>14.4</v>
      </c>
      <c r="K198" s="36" t="n">
        <f aca="false">H198-J198</f>
        <v>9</v>
      </c>
    </row>
    <row r="199" customFormat="false" ht="15" hidden="false" customHeight="false" outlineLevel="0" collapsed="false">
      <c r="A199" s="41" t="n">
        <v>46216</v>
      </c>
      <c r="B199" s="42" t="n">
        <f aca="false">DATE(YEAR(A199),MONTH(A199),1)</f>
        <v>46204</v>
      </c>
      <c r="C199" s="3" t="s">
        <v>63</v>
      </c>
      <c r="D199" s="3" t="s">
        <v>64</v>
      </c>
      <c r="E199" s="3" t="s">
        <v>28</v>
      </c>
      <c r="F199" s="3" t="n">
        <v>14</v>
      </c>
      <c r="G199" s="36" t="n">
        <v>0.9</v>
      </c>
      <c r="H199" s="36" t="n">
        <f aca="false">F199*G199</f>
        <v>12.6</v>
      </c>
      <c r="I199" s="36" t="n">
        <f aca="false">INDEX(Inventory!$D$2:$D$17,MATCH(C199,Inventory!$A$2:$A$17,0))</f>
        <v>0.5</v>
      </c>
      <c r="J199" s="36" t="n">
        <f aca="false">F199*I199</f>
        <v>7</v>
      </c>
      <c r="K199" s="36" t="n">
        <f aca="false">H199-J199</f>
        <v>5.6</v>
      </c>
    </row>
    <row r="200" customFormat="false" ht="15" hidden="false" customHeight="false" outlineLevel="0" collapsed="false">
      <c r="A200" s="41" t="n">
        <v>46216</v>
      </c>
      <c r="B200" s="42" t="n">
        <f aca="false">DATE(YEAR(A200),MONTH(A200),1)</f>
        <v>46204</v>
      </c>
      <c r="C200" s="3" t="s">
        <v>49</v>
      </c>
      <c r="D200" s="3" t="s">
        <v>50</v>
      </c>
      <c r="E200" s="3" t="s">
        <v>28</v>
      </c>
      <c r="F200" s="3" t="n">
        <v>24</v>
      </c>
      <c r="G200" s="36" t="n">
        <v>1.2</v>
      </c>
      <c r="H200" s="36" t="n">
        <f aca="false">F200*G200</f>
        <v>28.8</v>
      </c>
      <c r="I200" s="36" t="n">
        <f aca="false">INDEX(Inventory!$D$2:$D$17,MATCH(C200,Inventory!$A$2:$A$17,0))</f>
        <v>0.7</v>
      </c>
      <c r="J200" s="36" t="n">
        <f aca="false">F200*I200</f>
        <v>16.8</v>
      </c>
      <c r="K200" s="36" t="n">
        <f aca="false">H200-J200</f>
        <v>12</v>
      </c>
    </row>
    <row r="201" customFormat="false" ht="15" hidden="false" customHeight="false" outlineLevel="0" collapsed="false">
      <c r="A201" s="41" t="n">
        <v>46216</v>
      </c>
      <c r="B201" s="42" t="n">
        <f aca="false">DATE(YEAR(A201),MONTH(A201),1)</f>
        <v>46204</v>
      </c>
      <c r="C201" s="3" t="s">
        <v>51</v>
      </c>
      <c r="D201" s="3" t="s">
        <v>52</v>
      </c>
      <c r="E201" s="3" t="s">
        <v>28</v>
      </c>
      <c r="F201" s="3" t="n">
        <v>22</v>
      </c>
      <c r="G201" s="36" t="n">
        <v>0.85</v>
      </c>
      <c r="H201" s="36" t="n">
        <f aca="false">F201*G201</f>
        <v>18.7</v>
      </c>
      <c r="I201" s="36" t="n">
        <f aca="false">INDEX(Inventory!$D$2:$D$17,MATCH(C201,Inventory!$A$2:$A$17,0))</f>
        <v>0.45</v>
      </c>
      <c r="J201" s="36" t="n">
        <f aca="false">F201*I201</f>
        <v>9.9</v>
      </c>
      <c r="K201" s="36" t="n">
        <f aca="false">H201-J201</f>
        <v>8.8</v>
      </c>
    </row>
    <row r="202" customFormat="false" ht="15" hidden="false" customHeight="false" outlineLevel="0" collapsed="false">
      <c r="A202" s="41" t="n">
        <v>46216</v>
      </c>
      <c r="B202" s="42" t="n">
        <f aca="false">DATE(YEAR(A202),MONTH(A202),1)</f>
        <v>46204</v>
      </c>
      <c r="C202" s="3" t="s">
        <v>37</v>
      </c>
      <c r="D202" s="3" t="s">
        <v>38</v>
      </c>
      <c r="E202" s="3" t="s">
        <v>26</v>
      </c>
      <c r="F202" s="3" t="n">
        <v>37</v>
      </c>
      <c r="G202" s="36" t="n">
        <v>1.2</v>
      </c>
      <c r="H202" s="36" t="n">
        <f aca="false">F202*G202</f>
        <v>44.4</v>
      </c>
      <c r="I202" s="36" t="n">
        <f aca="false">INDEX(Inventory!$D$2:$D$17,MATCH(C202,Inventory!$A$2:$A$17,0))</f>
        <v>0.85</v>
      </c>
      <c r="J202" s="36" t="n">
        <f aca="false">F202*I202</f>
        <v>31.45</v>
      </c>
      <c r="K202" s="36" t="n">
        <f aca="false">H202-J202</f>
        <v>12.95</v>
      </c>
    </row>
    <row r="203" customFormat="false" ht="15" hidden="false" customHeight="false" outlineLevel="0" collapsed="false">
      <c r="A203" s="41" t="n">
        <v>46216</v>
      </c>
      <c r="B203" s="42" t="n">
        <f aca="false">DATE(YEAR(A203),MONTH(A203),1)</f>
        <v>46204</v>
      </c>
      <c r="C203" s="3" t="s">
        <v>47</v>
      </c>
      <c r="D203" s="3" t="s">
        <v>48</v>
      </c>
      <c r="E203" s="3" t="s">
        <v>26</v>
      </c>
      <c r="F203" s="3" t="n">
        <v>9</v>
      </c>
      <c r="G203" s="36" t="n">
        <v>2.2</v>
      </c>
      <c r="H203" s="36" t="n">
        <f aca="false">F203*G203</f>
        <v>19.8</v>
      </c>
      <c r="I203" s="36" t="n">
        <f aca="false">INDEX(Inventory!$D$2:$D$17,MATCH(C203,Inventory!$A$2:$A$17,0))</f>
        <v>1.4</v>
      </c>
      <c r="J203" s="36" t="n">
        <f aca="false">F203*I203</f>
        <v>12.6</v>
      </c>
      <c r="K203" s="36" t="n">
        <f aca="false">H203-J203</f>
        <v>7.2</v>
      </c>
    </row>
    <row r="204" customFormat="false" ht="15" hidden="false" customHeight="false" outlineLevel="0" collapsed="false">
      <c r="A204" s="41" t="n">
        <v>46216</v>
      </c>
      <c r="B204" s="42" t="n">
        <f aca="false">DATE(YEAR(A204),MONTH(A204),1)</f>
        <v>46204</v>
      </c>
      <c r="C204" s="3" t="s">
        <v>43</v>
      </c>
      <c r="D204" s="3" t="s">
        <v>44</v>
      </c>
      <c r="E204" s="3" t="s">
        <v>26</v>
      </c>
      <c r="F204" s="3" t="n">
        <v>8</v>
      </c>
      <c r="G204" s="36" t="n">
        <v>3.8</v>
      </c>
      <c r="H204" s="36" t="n">
        <f aca="false">F204*G204</f>
        <v>30.4</v>
      </c>
      <c r="I204" s="36" t="n">
        <f aca="false">INDEX(Inventory!$D$2:$D$17,MATCH(C204,Inventory!$A$2:$A$17,0))</f>
        <v>2.6</v>
      </c>
      <c r="J204" s="36" t="n">
        <f aca="false">F204*I204</f>
        <v>20.8</v>
      </c>
      <c r="K204" s="36" t="n">
        <f aca="false">H204-J204</f>
        <v>9.6</v>
      </c>
    </row>
    <row r="205" customFormat="false" ht="15" hidden="false" customHeight="false" outlineLevel="0" collapsed="false">
      <c r="A205" s="41" t="n">
        <v>46216</v>
      </c>
      <c r="B205" s="42" t="n">
        <f aca="false">DATE(YEAR(A205),MONTH(A205),1)</f>
        <v>46204</v>
      </c>
      <c r="C205" s="3" t="s">
        <v>67</v>
      </c>
      <c r="D205" s="3" t="s">
        <v>68</v>
      </c>
      <c r="E205" s="3" t="s">
        <v>26</v>
      </c>
      <c r="F205" s="3" t="n">
        <v>5</v>
      </c>
      <c r="G205" s="36" t="n">
        <v>1.9</v>
      </c>
      <c r="H205" s="36" t="n">
        <f aca="false">F205*G205</f>
        <v>9.5</v>
      </c>
      <c r="I205" s="36" t="n">
        <f aca="false">INDEX(Inventory!$D$2:$D$17,MATCH(C205,Inventory!$A$2:$A$17,0))</f>
        <v>1.3</v>
      </c>
      <c r="J205" s="36" t="n">
        <f aca="false">F205*I205</f>
        <v>6.5</v>
      </c>
      <c r="K205" s="36" t="n">
        <f aca="false">H205-J205</f>
        <v>3</v>
      </c>
    </row>
    <row r="206" customFormat="false" ht="15" hidden="false" customHeight="false" outlineLevel="0" collapsed="false">
      <c r="A206" s="41" t="n">
        <v>46216</v>
      </c>
      <c r="B206" s="42" t="n">
        <f aca="false">DATE(YEAR(A206),MONTH(A206),1)</f>
        <v>46204</v>
      </c>
      <c r="C206" s="3" t="s">
        <v>61</v>
      </c>
      <c r="D206" s="3" t="s">
        <v>62</v>
      </c>
      <c r="E206" s="3" t="s">
        <v>29</v>
      </c>
      <c r="F206" s="3" t="n">
        <v>7</v>
      </c>
      <c r="G206" s="36" t="n">
        <v>1.9</v>
      </c>
      <c r="H206" s="36" t="n">
        <f aca="false">F206*G206</f>
        <v>13.3</v>
      </c>
      <c r="I206" s="36" t="n">
        <f aca="false">INDEX(Inventory!$D$2:$D$17,MATCH(C206,Inventory!$A$2:$A$17,0))</f>
        <v>1.1</v>
      </c>
      <c r="J206" s="36" t="n">
        <f aca="false">F206*I206</f>
        <v>7.7</v>
      </c>
      <c r="K206" s="36" t="n">
        <f aca="false">H206-J206</f>
        <v>5.6</v>
      </c>
    </row>
    <row r="207" customFormat="false" ht="15" hidden="false" customHeight="false" outlineLevel="0" collapsed="false">
      <c r="A207" s="41" t="n">
        <v>46216</v>
      </c>
      <c r="B207" s="42" t="n">
        <f aca="false">DATE(YEAR(A207),MONTH(A207),1)</f>
        <v>46204</v>
      </c>
      <c r="C207" s="3" t="s">
        <v>45</v>
      </c>
      <c r="D207" s="3" t="s">
        <v>46</v>
      </c>
      <c r="E207" s="3" t="s">
        <v>29</v>
      </c>
      <c r="F207" s="3" t="n">
        <v>5</v>
      </c>
      <c r="G207" s="36" t="n">
        <v>5.2</v>
      </c>
      <c r="H207" s="36" t="n">
        <f aca="false">F207*G207</f>
        <v>26</v>
      </c>
      <c r="I207" s="36" t="n">
        <f aca="false">INDEX(Inventory!$D$2:$D$17,MATCH(C207,Inventory!$A$2:$A$17,0))</f>
        <v>3.5</v>
      </c>
      <c r="J207" s="36" t="n">
        <f aca="false">F207*I207</f>
        <v>17.5</v>
      </c>
      <c r="K207" s="36" t="n">
        <f aca="false">H207-J207</f>
        <v>8.5</v>
      </c>
    </row>
    <row r="208" customFormat="false" ht="15" hidden="false" customHeight="false" outlineLevel="0" collapsed="false">
      <c r="A208" s="41" t="n">
        <v>46216</v>
      </c>
      <c r="B208" s="42" t="n">
        <f aca="false">DATE(YEAR(A208),MONTH(A208),1)</f>
        <v>46204</v>
      </c>
      <c r="C208" s="3" t="s">
        <v>65</v>
      </c>
      <c r="D208" s="3" t="s">
        <v>66</v>
      </c>
      <c r="E208" s="3" t="s">
        <v>29</v>
      </c>
      <c r="F208" s="3" t="n">
        <v>7</v>
      </c>
      <c r="G208" s="36" t="n">
        <v>1.5</v>
      </c>
      <c r="H208" s="36" t="n">
        <f aca="false">F208*G208</f>
        <v>10.5</v>
      </c>
      <c r="I208" s="36" t="n">
        <f aca="false">INDEX(Inventory!$D$2:$D$17,MATCH(C208,Inventory!$A$2:$A$17,0))</f>
        <v>0.9</v>
      </c>
      <c r="J208" s="36" t="n">
        <f aca="false">F208*I208</f>
        <v>6.3</v>
      </c>
      <c r="K208" s="36" t="n">
        <f aca="false">H208-J208</f>
        <v>4.2</v>
      </c>
    </row>
    <row r="209" customFormat="false" ht="15" hidden="false" customHeight="false" outlineLevel="0" collapsed="false">
      <c r="A209" s="41" t="n">
        <v>46216</v>
      </c>
      <c r="B209" s="42" t="n">
        <f aca="false">DATE(YEAR(A209),MONTH(A209),1)</f>
        <v>46204</v>
      </c>
      <c r="C209" s="3" t="s">
        <v>55</v>
      </c>
      <c r="D209" s="3" t="s">
        <v>56</v>
      </c>
      <c r="E209" s="3" t="s">
        <v>29</v>
      </c>
      <c r="F209" s="3" t="n">
        <v>7</v>
      </c>
      <c r="G209" s="36" t="n">
        <v>2.5</v>
      </c>
      <c r="H209" s="36" t="n">
        <f aca="false">F209*G209</f>
        <v>17.5</v>
      </c>
      <c r="I209" s="36" t="n">
        <f aca="false">INDEX(Inventory!$D$2:$D$17,MATCH(C209,Inventory!$A$2:$A$17,0))</f>
        <v>1.6</v>
      </c>
      <c r="J209" s="36" t="n">
        <f aca="false">F209*I209</f>
        <v>11.2</v>
      </c>
      <c r="K209" s="36" t="n">
        <f aca="false">H209-J209</f>
        <v>6.3</v>
      </c>
    </row>
    <row r="210" customFormat="false" ht="15" hidden="false" customHeight="false" outlineLevel="0" collapsed="false">
      <c r="A210" s="41" t="n">
        <v>46217</v>
      </c>
      <c r="B210" s="42" t="n">
        <f aca="false">DATE(YEAR(A210),MONTH(A210),1)</f>
        <v>46204</v>
      </c>
      <c r="C210" s="3" t="s">
        <v>39</v>
      </c>
      <c r="D210" s="3" t="s">
        <v>40</v>
      </c>
      <c r="E210" s="3" t="s">
        <v>27</v>
      </c>
      <c r="F210" s="3" t="n">
        <v>12</v>
      </c>
      <c r="G210" s="36" t="n">
        <v>1</v>
      </c>
      <c r="H210" s="36" t="n">
        <f aca="false">F210*G210</f>
        <v>12</v>
      </c>
      <c r="I210" s="36" t="n">
        <f aca="false">INDEX(Inventory!$D$2:$D$17,MATCH(C210,Inventory!$A$2:$A$17,0))</f>
        <v>0.6</v>
      </c>
      <c r="J210" s="36" t="n">
        <f aca="false">F210*I210</f>
        <v>7.2</v>
      </c>
      <c r="K210" s="36" t="n">
        <f aca="false">H210-J210</f>
        <v>4.8</v>
      </c>
    </row>
    <row r="211" customFormat="false" ht="15" hidden="false" customHeight="false" outlineLevel="0" collapsed="false">
      <c r="A211" s="41" t="n">
        <v>46217</v>
      </c>
      <c r="B211" s="42" t="n">
        <f aca="false">DATE(YEAR(A211),MONTH(A211),1)</f>
        <v>46204</v>
      </c>
      <c r="C211" s="3" t="s">
        <v>53</v>
      </c>
      <c r="D211" s="3" t="s">
        <v>54</v>
      </c>
      <c r="E211" s="3" t="s">
        <v>27</v>
      </c>
      <c r="F211" s="3" t="n">
        <v>27</v>
      </c>
      <c r="G211" s="36" t="n">
        <v>0.95</v>
      </c>
      <c r="H211" s="36" t="n">
        <f aca="false">F211*G211</f>
        <v>25.65</v>
      </c>
      <c r="I211" s="36" t="n">
        <f aca="false">INDEX(Inventory!$D$2:$D$17,MATCH(C211,Inventory!$A$2:$A$17,0))</f>
        <v>0.55</v>
      </c>
      <c r="J211" s="36" t="n">
        <f aca="false">F211*I211</f>
        <v>14.85</v>
      </c>
      <c r="K211" s="36" t="n">
        <f aca="false">H211-J211</f>
        <v>10.8</v>
      </c>
    </row>
    <row r="212" customFormat="false" ht="15" hidden="false" customHeight="false" outlineLevel="0" collapsed="false">
      <c r="A212" s="41" t="n">
        <v>46217</v>
      </c>
      <c r="B212" s="42" t="n">
        <f aca="false">DATE(YEAR(A212),MONTH(A212),1)</f>
        <v>46204</v>
      </c>
      <c r="C212" s="3" t="s">
        <v>59</v>
      </c>
      <c r="D212" s="3" t="s">
        <v>60</v>
      </c>
      <c r="E212" s="3" t="s">
        <v>27</v>
      </c>
      <c r="F212" s="3" t="n">
        <v>29</v>
      </c>
      <c r="G212" s="36" t="n">
        <v>0.6</v>
      </c>
      <c r="H212" s="36" t="n">
        <f aca="false">F212*G212</f>
        <v>17.4</v>
      </c>
      <c r="I212" s="36" t="n">
        <f aca="false">INDEX(Inventory!$D$2:$D$17,MATCH(C212,Inventory!$A$2:$A$17,0))</f>
        <v>0.3</v>
      </c>
      <c r="J212" s="36" t="n">
        <f aca="false">F212*I212</f>
        <v>8.7</v>
      </c>
      <c r="K212" s="36" t="n">
        <f aca="false">H212-J212</f>
        <v>8.7</v>
      </c>
    </row>
    <row r="213" customFormat="false" ht="15" hidden="false" customHeight="false" outlineLevel="0" collapsed="false">
      <c r="A213" s="41" t="n">
        <v>46217</v>
      </c>
      <c r="B213" s="42" t="n">
        <f aca="false">DATE(YEAR(A213),MONTH(A213),1)</f>
        <v>46204</v>
      </c>
      <c r="C213" s="3" t="s">
        <v>57</v>
      </c>
      <c r="D213" s="3" t="s">
        <v>58</v>
      </c>
      <c r="E213" s="3" t="s">
        <v>27</v>
      </c>
      <c r="F213" s="3" t="n">
        <v>17</v>
      </c>
      <c r="G213" s="36" t="n">
        <v>1.5</v>
      </c>
      <c r="H213" s="36" t="n">
        <f aca="false">F213*G213</f>
        <v>25.5</v>
      </c>
      <c r="I213" s="36" t="n">
        <f aca="false">INDEX(Inventory!$D$2:$D$17,MATCH(C213,Inventory!$A$2:$A$17,0))</f>
        <v>0.9</v>
      </c>
      <c r="J213" s="36" t="n">
        <f aca="false">F213*I213</f>
        <v>15.3</v>
      </c>
      <c r="K213" s="36" t="n">
        <f aca="false">H213-J213</f>
        <v>10.2</v>
      </c>
    </row>
    <row r="214" customFormat="false" ht="15" hidden="false" customHeight="false" outlineLevel="0" collapsed="false">
      <c r="A214" s="41" t="n">
        <v>46217</v>
      </c>
      <c r="B214" s="42" t="n">
        <f aca="false">DATE(YEAR(A214),MONTH(A214),1)</f>
        <v>46204</v>
      </c>
      <c r="C214" s="3" t="s">
        <v>41</v>
      </c>
      <c r="D214" s="3" t="s">
        <v>42</v>
      </c>
      <c r="E214" s="3" t="s">
        <v>28</v>
      </c>
      <c r="F214" s="3" t="n">
        <v>15</v>
      </c>
      <c r="G214" s="36" t="n">
        <v>1.3</v>
      </c>
      <c r="H214" s="36" t="n">
        <f aca="false">F214*G214</f>
        <v>19.5</v>
      </c>
      <c r="I214" s="36" t="n">
        <f aca="false">INDEX(Inventory!$D$2:$D$17,MATCH(C214,Inventory!$A$2:$A$17,0))</f>
        <v>0.8</v>
      </c>
      <c r="J214" s="36" t="n">
        <f aca="false">F214*I214</f>
        <v>12</v>
      </c>
      <c r="K214" s="36" t="n">
        <f aca="false">H214-J214</f>
        <v>7.5</v>
      </c>
    </row>
    <row r="215" customFormat="false" ht="15" hidden="false" customHeight="false" outlineLevel="0" collapsed="false">
      <c r="A215" s="41" t="n">
        <v>46217</v>
      </c>
      <c r="B215" s="42" t="n">
        <f aca="false">DATE(YEAR(A215),MONTH(A215),1)</f>
        <v>46204</v>
      </c>
      <c r="C215" s="3" t="s">
        <v>63</v>
      </c>
      <c r="D215" s="3" t="s">
        <v>64</v>
      </c>
      <c r="E215" s="3" t="s">
        <v>28</v>
      </c>
      <c r="F215" s="3" t="n">
        <v>15</v>
      </c>
      <c r="G215" s="36" t="n">
        <v>0.9</v>
      </c>
      <c r="H215" s="36" t="n">
        <f aca="false">F215*G215</f>
        <v>13.5</v>
      </c>
      <c r="I215" s="36" t="n">
        <f aca="false">INDEX(Inventory!$D$2:$D$17,MATCH(C215,Inventory!$A$2:$A$17,0))</f>
        <v>0.5</v>
      </c>
      <c r="J215" s="36" t="n">
        <f aca="false">F215*I215</f>
        <v>7.5</v>
      </c>
      <c r="K215" s="36" t="n">
        <f aca="false">H215-J215</f>
        <v>6</v>
      </c>
    </row>
    <row r="216" customFormat="false" ht="15" hidden="false" customHeight="false" outlineLevel="0" collapsed="false">
      <c r="A216" s="41" t="n">
        <v>46217</v>
      </c>
      <c r="B216" s="42" t="n">
        <f aca="false">DATE(YEAR(A216),MONTH(A216),1)</f>
        <v>46204</v>
      </c>
      <c r="C216" s="3" t="s">
        <v>49</v>
      </c>
      <c r="D216" s="3" t="s">
        <v>50</v>
      </c>
      <c r="E216" s="3" t="s">
        <v>28</v>
      </c>
      <c r="F216" s="3" t="n">
        <v>29</v>
      </c>
      <c r="G216" s="36" t="n">
        <v>1.2</v>
      </c>
      <c r="H216" s="36" t="n">
        <f aca="false">F216*G216</f>
        <v>34.8</v>
      </c>
      <c r="I216" s="36" t="n">
        <f aca="false">INDEX(Inventory!$D$2:$D$17,MATCH(C216,Inventory!$A$2:$A$17,0))</f>
        <v>0.7</v>
      </c>
      <c r="J216" s="36" t="n">
        <f aca="false">F216*I216</f>
        <v>20.3</v>
      </c>
      <c r="K216" s="36" t="n">
        <f aca="false">H216-J216</f>
        <v>14.5</v>
      </c>
    </row>
    <row r="217" customFormat="false" ht="15" hidden="false" customHeight="false" outlineLevel="0" collapsed="false">
      <c r="A217" s="41" t="n">
        <v>46217</v>
      </c>
      <c r="B217" s="42" t="n">
        <f aca="false">DATE(YEAR(A217),MONTH(A217),1)</f>
        <v>46204</v>
      </c>
      <c r="C217" s="3" t="s">
        <v>51</v>
      </c>
      <c r="D217" s="3" t="s">
        <v>52</v>
      </c>
      <c r="E217" s="3" t="s">
        <v>28</v>
      </c>
      <c r="F217" s="3" t="n">
        <v>17</v>
      </c>
      <c r="G217" s="36" t="n">
        <v>0.85</v>
      </c>
      <c r="H217" s="36" t="n">
        <f aca="false">F217*G217</f>
        <v>14.45</v>
      </c>
      <c r="I217" s="36" t="n">
        <f aca="false">INDEX(Inventory!$D$2:$D$17,MATCH(C217,Inventory!$A$2:$A$17,0))</f>
        <v>0.45</v>
      </c>
      <c r="J217" s="36" t="n">
        <f aca="false">F217*I217</f>
        <v>7.65</v>
      </c>
      <c r="K217" s="36" t="n">
        <f aca="false">H217-J217</f>
        <v>6.8</v>
      </c>
    </row>
    <row r="218" customFormat="false" ht="15" hidden="false" customHeight="false" outlineLevel="0" collapsed="false">
      <c r="A218" s="41" t="n">
        <v>46217</v>
      </c>
      <c r="B218" s="42" t="n">
        <f aca="false">DATE(YEAR(A218),MONTH(A218),1)</f>
        <v>46204</v>
      </c>
      <c r="C218" s="3" t="s">
        <v>37</v>
      </c>
      <c r="D218" s="3" t="s">
        <v>38</v>
      </c>
      <c r="E218" s="3" t="s">
        <v>26</v>
      </c>
      <c r="F218" s="3" t="n">
        <v>15</v>
      </c>
      <c r="G218" s="36" t="n">
        <v>1.2</v>
      </c>
      <c r="H218" s="36" t="n">
        <f aca="false">F218*G218</f>
        <v>18</v>
      </c>
      <c r="I218" s="36" t="n">
        <f aca="false">INDEX(Inventory!$D$2:$D$17,MATCH(C218,Inventory!$A$2:$A$17,0))</f>
        <v>0.85</v>
      </c>
      <c r="J218" s="36" t="n">
        <f aca="false">F218*I218</f>
        <v>12.75</v>
      </c>
      <c r="K218" s="36" t="n">
        <f aca="false">H218-J218</f>
        <v>5.25</v>
      </c>
    </row>
    <row r="219" customFormat="false" ht="15" hidden="false" customHeight="false" outlineLevel="0" collapsed="false">
      <c r="A219" s="41" t="n">
        <v>46217</v>
      </c>
      <c r="B219" s="42" t="n">
        <f aca="false">DATE(YEAR(A219),MONTH(A219),1)</f>
        <v>46204</v>
      </c>
      <c r="C219" s="3" t="s">
        <v>47</v>
      </c>
      <c r="D219" s="3" t="s">
        <v>48</v>
      </c>
      <c r="E219" s="3" t="s">
        <v>26</v>
      </c>
      <c r="F219" s="3" t="n">
        <v>9</v>
      </c>
      <c r="G219" s="36" t="n">
        <v>2.2</v>
      </c>
      <c r="H219" s="36" t="n">
        <f aca="false">F219*G219</f>
        <v>19.8</v>
      </c>
      <c r="I219" s="36" t="n">
        <f aca="false">INDEX(Inventory!$D$2:$D$17,MATCH(C219,Inventory!$A$2:$A$17,0))</f>
        <v>1.4</v>
      </c>
      <c r="J219" s="36" t="n">
        <f aca="false">F219*I219</f>
        <v>12.6</v>
      </c>
      <c r="K219" s="36" t="n">
        <f aca="false">H219-J219</f>
        <v>7.2</v>
      </c>
    </row>
    <row r="220" customFormat="false" ht="15" hidden="false" customHeight="false" outlineLevel="0" collapsed="false">
      <c r="A220" s="41" t="n">
        <v>46217</v>
      </c>
      <c r="B220" s="42" t="n">
        <f aca="false">DATE(YEAR(A220),MONTH(A220),1)</f>
        <v>46204</v>
      </c>
      <c r="C220" s="3" t="s">
        <v>43</v>
      </c>
      <c r="D220" s="3" t="s">
        <v>44</v>
      </c>
      <c r="E220" s="3" t="s">
        <v>26</v>
      </c>
      <c r="F220" s="3" t="n">
        <v>8</v>
      </c>
      <c r="G220" s="36" t="n">
        <v>3.8</v>
      </c>
      <c r="H220" s="36" t="n">
        <f aca="false">F220*G220</f>
        <v>30.4</v>
      </c>
      <c r="I220" s="36" t="n">
        <f aca="false">INDEX(Inventory!$D$2:$D$17,MATCH(C220,Inventory!$A$2:$A$17,0))</f>
        <v>2.6</v>
      </c>
      <c r="J220" s="36" t="n">
        <f aca="false">F220*I220</f>
        <v>20.8</v>
      </c>
      <c r="K220" s="36" t="n">
        <f aca="false">H220-J220</f>
        <v>9.6</v>
      </c>
    </row>
    <row r="221" customFormat="false" ht="15" hidden="false" customHeight="false" outlineLevel="0" collapsed="false">
      <c r="A221" s="41" t="n">
        <v>46217</v>
      </c>
      <c r="B221" s="42" t="n">
        <f aca="false">DATE(YEAR(A221),MONTH(A221),1)</f>
        <v>46204</v>
      </c>
      <c r="C221" s="3" t="s">
        <v>67</v>
      </c>
      <c r="D221" s="3" t="s">
        <v>68</v>
      </c>
      <c r="E221" s="3" t="s">
        <v>26</v>
      </c>
      <c r="F221" s="3" t="n">
        <v>7</v>
      </c>
      <c r="G221" s="36" t="n">
        <v>1.9</v>
      </c>
      <c r="H221" s="36" t="n">
        <f aca="false">F221*G221</f>
        <v>13.3</v>
      </c>
      <c r="I221" s="36" t="n">
        <f aca="false">INDEX(Inventory!$D$2:$D$17,MATCH(C221,Inventory!$A$2:$A$17,0))</f>
        <v>1.3</v>
      </c>
      <c r="J221" s="36" t="n">
        <f aca="false">F221*I221</f>
        <v>9.1</v>
      </c>
      <c r="K221" s="36" t="n">
        <f aca="false">H221-J221</f>
        <v>4.2</v>
      </c>
    </row>
    <row r="222" customFormat="false" ht="15" hidden="false" customHeight="false" outlineLevel="0" collapsed="false">
      <c r="A222" s="41" t="n">
        <v>46217</v>
      </c>
      <c r="B222" s="42" t="n">
        <f aca="false">DATE(YEAR(A222),MONTH(A222),1)</f>
        <v>46204</v>
      </c>
      <c r="C222" s="3" t="s">
        <v>61</v>
      </c>
      <c r="D222" s="3" t="s">
        <v>62</v>
      </c>
      <c r="E222" s="3" t="s">
        <v>29</v>
      </c>
      <c r="F222" s="3" t="n">
        <v>12</v>
      </c>
      <c r="G222" s="36" t="n">
        <v>1.9</v>
      </c>
      <c r="H222" s="36" t="n">
        <f aca="false">F222*G222</f>
        <v>22.8</v>
      </c>
      <c r="I222" s="36" t="n">
        <f aca="false">INDEX(Inventory!$D$2:$D$17,MATCH(C222,Inventory!$A$2:$A$17,0))</f>
        <v>1.1</v>
      </c>
      <c r="J222" s="36" t="n">
        <f aca="false">F222*I222</f>
        <v>13.2</v>
      </c>
      <c r="K222" s="36" t="n">
        <f aca="false">H222-J222</f>
        <v>9.6</v>
      </c>
    </row>
    <row r="223" customFormat="false" ht="15" hidden="false" customHeight="false" outlineLevel="0" collapsed="false">
      <c r="A223" s="41" t="n">
        <v>46217</v>
      </c>
      <c r="B223" s="42" t="n">
        <f aca="false">DATE(YEAR(A223),MONTH(A223),1)</f>
        <v>46204</v>
      </c>
      <c r="C223" s="3" t="s">
        <v>45</v>
      </c>
      <c r="D223" s="3" t="s">
        <v>46</v>
      </c>
      <c r="E223" s="3" t="s">
        <v>29</v>
      </c>
      <c r="F223" s="3" t="n">
        <v>5</v>
      </c>
      <c r="G223" s="36" t="n">
        <v>5.2</v>
      </c>
      <c r="H223" s="36" t="n">
        <f aca="false">F223*G223</f>
        <v>26</v>
      </c>
      <c r="I223" s="36" t="n">
        <f aca="false">INDEX(Inventory!$D$2:$D$17,MATCH(C223,Inventory!$A$2:$A$17,0))</f>
        <v>3.5</v>
      </c>
      <c r="J223" s="36" t="n">
        <f aca="false">F223*I223</f>
        <v>17.5</v>
      </c>
      <c r="K223" s="36" t="n">
        <f aca="false">H223-J223</f>
        <v>8.5</v>
      </c>
    </row>
    <row r="224" customFormat="false" ht="15" hidden="false" customHeight="false" outlineLevel="0" collapsed="false">
      <c r="A224" s="41" t="n">
        <v>46217</v>
      </c>
      <c r="B224" s="42" t="n">
        <f aca="false">DATE(YEAR(A224),MONTH(A224),1)</f>
        <v>46204</v>
      </c>
      <c r="C224" s="3" t="s">
        <v>65</v>
      </c>
      <c r="D224" s="3" t="s">
        <v>66</v>
      </c>
      <c r="E224" s="3" t="s">
        <v>29</v>
      </c>
      <c r="F224" s="3" t="n">
        <v>5</v>
      </c>
      <c r="G224" s="36" t="n">
        <v>1.5</v>
      </c>
      <c r="H224" s="36" t="n">
        <f aca="false">F224*G224</f>
        <v>7.5</v>
      </c>
      <c r="I224" s="36" t="n">
        <f aca="false">INDEX(Inventory!$D$2:$D$17,MATCH(C224,Inventory!$A$2:$A$17,0))</f>
        <v>0.9</v>
      </c>
      <c r="J224" s="36" t="n">
        <f aca="false">F224*I224</f>
        <v>4.5</v>
      </c>
      <c r="K224" s="36" t="n">
        <f aca="false">H224-J224</f>
        <v>3</v>
      </c>
    </row>
    <row r="225" customFormat="false" ht="15" hidden="false" customHeight="false" outlineLevel="0" collapsed="false">
      <c r="A225" s="41" t="n">
        <v>46217</v>
      </c>
      <c r="B225" s="42" t="n">
        <f aca="false">DATE(YEAR(A225),MONTH(A225),1)</f>
        <v>46204</v>
      </c>
      <c r="C225" s="3" t="s">
        <v>55</v>
      </c>
      <c r="D225" s="3" t="s">
        <v>56</v>
      </c>
      <c r="E225" s="3" t="s">
        <v>29</v>
      </c>
      <c r="F225" s="3" t="n">
        <v>6</v>
      </c>
      <c r="G225" s="36" t="n">
        <v>2.5</v>
      </c>
      <c r="H225" s="36" t="n">
        <f aca="false">F225*G225</f>
        <v>15</v>
      </c>
      <c r="I225" s="36" t="n">
        <f aca="false">INDEX(Inventory!$D$2:$D$17,MATCH(C225,Inventory!$A$2:$A$17,0))</f>
        <v>1.6</v>
      </c>
      <c r="J225" s="36" t="n">
        <f aca="false">F225*I225</f>
        <v>9.6</v>
      </c>
      <c r="K225" s="36" t="n">
        <f aca="false">H225-J225</f>
        <v>5.4</v>
      </c>
    </row>
    <row r="226" customFormat="false" ht="15" hidden="false" customHeight="false" outlineLevel="0" collapsed="false">
      <c r="A226" s="41" t="n">
        <v>46218</v>
      </c>
      <c r="B226" s="42" t="n">
        <f aca="false">DATE(YEAR(A226),MONTH(A226),1)</f>
        <v>46204</v>
      </c>
      <c r="C226" s="3" t="s">
        <v>39</v>
      </c>
      <c r="D226" s="3" t="s">
        <v>40</v>
      </c>
      <c r="E226" s="3" t="s">
        <v>27</v>
      </c>
      <c r="F226" s="3" t="n">
        <v>34</v>
      </c>
      <c r="G226" s="36" t="n">
        <v>1</v>
      </c>
      <c r="H226" s="36" t="n">
        <f aca="false">F226*G226</f>
        <v>34</v>
      </c>
      <c r="I226" s="36" t="n">
        <f aca="false">INDEX(Inventory!$D$2:$D$17,MATCH(C226,Inventory!$A$2:$A$17,0))</f>
        <v>0.6</v>
      </c>
      <c r="J226" s="36" t="n">
        <f aca="false">F226*I226</f>
        <v>20.4</v>
      </c>
      <c r="K226" s="36" t="n">
        <f aca="false">H226-J226</f>
        <v>13.6</v>
      </c>
    </row>
    <row r="227" customFormat="false" ht="15" hidden="false" customHeight="false" outlineLevel="0" collapsed="false">
      <c r="A227" s="41" t="n">
        <v>46218</v>
      </c>
      <c r="B227" s="42" t="n">
        <f aca="false">DATE(YEAR(A227),MONTH(A227),1)</f>
        <v>46204</v>
      </c>
      <c r="C227" s="3" t="s">
        <v>53</v>
      </c>
      <c r="D227" s="3" t="s">
        <v>54</v>
      </c>
      <c r="E227" s="3" t="s">
        <v>27</v>
      </c>
      <c r="F227" s="3" t="n">
        <v>20</v>
      </c>
      <c r="G227" s="36" t="n">
        <v>0.95</v>
      </c>
      <c r="H227" s="36" t="n">
        <f aca="false">F227*G227</f>
        <v>19</v>
      </c>
      <c r="I227" s="36" t="n">
        <f aca="false">INDEX(Inventory!$D$2:$D$17,MATCH(C227,Inventory!$A$2:$A$17,0))</f>
        <v>0.55</v>
      </c>
      <c r="J227" s="36" t="n">
        <f aca="false">F227*I227</f>
        <v>11</v>
      </c>
      <c r="K227" s="36" t="n">
        <f aca="false">H227-J227</f>
        <v>8</v>
      </c>
    </row>
    <row r="228" customFormat="false" ht="15" hidden="false" customHeight="false" outlineLevel="0" collapsed="false">
      <c r="A228" s="41" t="n">
        <v>46218</v>
      </c>
      <c r="B228" s="42" t="n">
        <f aca="false">DATE(YEAR(A228),MONTH(A228),1)</f>
        <v>46204</v>
      </c>
      <c r="C228" s="3" t="s">
        <v>59</v>
      </c>
      <c r="D228" s="3" t="s">
        <v>60</v>
      </c>
      <c r="E228" s="3" t="s">
        <v>27</v>
      </c>
      <c r="F228" s="3" t="n">
        <v>15</v>
      </c>
      <c r="G228" s="36" t="n">
        <v>0.6</v>
      </c>
      <c r="H228" s="36" t="n">
        <f aca="false">F228*G228</f>
        <v>9</v>
      </c>
      <c r="I228" s="36" t="n">
        <f aca="false">INDEX(Inventory!$D$2:$D$17,MATCH(C228,Inventory!$A$2:$A$17,0))</f>
        <v>0.3</v>
      </c>
      <c r="J228" s="36" t="n">
        <f aca="false">F228*I228</f>
        <v>4.5</v>
      </c>
      <c r="K228" s="36" t="n">
        <f aca="false">H228-J228</f>
        <v>4.5</v>
      </c>
    </row>
    <row r="229" customFormat="false" ht="15" hidden="false" customHeight="false" outlineLevel="0" collapsed="false">
      <c r="A229" s="41" t="n">
        <v>46218</v>
      </c>
      <c r="B229" s="42" t="n">
        <f aca="false">DATE(YEAR(A229),MONTH(A229),1)</f>
        <v>46204</v>
      </c>
      <c r="C229" s="3" t="s">
        <v>57</v>
      </c>
      <c r="D229" s="3" t="s">
        <v>58</v>
      </c>
      <c r="E229" s="3" t="s">
        <v>27</v>
      </c>
      <c r="F229" s="3" t="n">
        <v>12</v>
      </c>
      <c r="G229" s="36" t="n">
        <v>1.5</v>
      </c>
      <c r="H229" s="36" t="n">
        <f aca="false">F229*G229</f>
        <v>18</v>
      </c>
      <c r="I229" s="36" t="n">
        <f aca="false">INDEX(Inventory!$D$2:$D$17,MATCH(C229,Inventory!$A$2:$A$17,0))</f>
        <v>0.9</v>
      </c>
      <c r="J229" s="36" t="n">
        <f aca="false">F229*I229</f>
        <v>10.8</v>
      </c>
      <c r="K229" s="36" t="n">
        <f aca="false">H229-J229</f>
        <v>7.2</v>
      </c>
    </row>
    <row r="230" customFormat="false" ht="15" hidden="false" customHeight="false" outlineLevel="0" collapsed="false">
      <c r="A230" s="41" t="n">
        <v>46218</v>
      </c>
      <c r="B230" s="42" t="n">
        <f aca="false">DATE(YEAR(A230),MONTH(A230),1)</f>
        <v>46204</v>
      </c>
      <c r="C230" s="3" t="s">
        <v>41</v>
      </c>
      <c r="D230" s="3" t="s">
        <v>42</v>
      </c>
      <c r="E230" s="3" t="s">
        <v>28</v>
      </c>
      <c r="F230" s="3" t="n">
        <v>27</v>
      </c>
      <c r="G230" s="36" t="n">
        <v>1.3</v>
      </c>
      <c r="H230" s="36" t="n">
        <f aca="false">F230*G230</f>
        <v>35.1</v>
      </c>
      <c r="I230" s="36" t="n">
        <f aca="false">INDEX(Inventory!$D$2:$D$17,MATCH(C230,Inventory!$A$2:$A$17,0))</f>
        <v>0.8</v>
      </c>
      <c r="J230" s="36" t="n">
        <f aca="false">F230*I230</f>
        <v>21.6</v>
      </c>
      <c r="K230" s="36" t="n">
        <f aca="false">H230-J230</f>
        <v>13.5</v>
      </c>
    </row>
    <row r="231" customFormat="false" ht="15" hidden="false" customHeight="false" outlineLevel="0" collapsed="false">
      <c r="A231" s="41" t="n">
        <v>46218</v>
      </c>
      <c r="B231" s="42" t="n">
        <f aca="false">DATE(YEAR(A231),MONTH(A231),1)</f>
        <v>46204</v>
      </c>
      <c r="C231" s="3" t="s">
        <v>63</v>
      </c>
      <c r="D231" s="3" t="s">
        <v>64</v>
      </c>
      <c r="E231" s="3" t="s">
        <v>28</v>
      </c>
      <c r="F231" s="3" t="n">
        <v>21</v>
      </c>
      <c r="G231" s="36" t="n">
        <v>0.9</v>
      </c>
      <c r="H231" s="36" t="n">
        <f aca="false">F231*G231</f>
        <v>18.9</v>
      </c>
      <c r="I231" s="36" t="n">
        <f aca="false">INDEX(Inventory!$D$2:$D$17,MATCH(C231,Inventory!$A$2:$A$17,0))</f>
        <v>0.5</v>
      </c>
      <c r="J231" s="36" t="n">
        <f aca="false">F231*I231</f>
        <v>10.5</v>
      </c>
      <c r="K231" s="36" t="n">
        <f aca="false">H231-J231</f>
        <v>8.4</v>
      </c>
    </row>
    <row r="232" customFormat="false" ht="15" hidden="false" customHeight="false" outlineLevel="0" collapsed="false">
      <c r="A232" s="41" t="n">
        <v>46218</v>
      </c>
      <c r="B232" s="42" t="n">
        <f aca="false">DATE(YEAR(A232),MONTH(A232),1)</f>
        <v>46204</v>
      </c>
      <c r="C232" s="3" t="s">
        <v>49</v>
      </c>
      <c r="D232" s="3" t="s">
        <v>50</v>
      </c>
      <c r="E232" s="3" t="s">
        <v>28</v>
      </c>
      <c r="F232" s="3" t="n">
        <v>18</v>
      </c>
      <c r="G232" s="36" t="n">
        <v>1.2</v>
      </c>
      <c r="H232" s="36" t="n">
        <f aca="false">F232*G232</f>
        <v>21.6</v>
      </c>
      <c r="I232" s="36" t="n">
        <f aca="false">INDEX(Inventory!$D$2:$D$17,MATCH(C232,Inventory!$A$2:$A$17,0))</f>
        <v>0.7</v>
      </c>
      <c r="J232" s="36" t="n">
        <f aca="false">F232*I232</f>
        <v>12.6</v>
      </c>
      <c r="K232" s="36" t="n">
        <f aca="false">H232-J232</f>
        <v>9</v>
      </c>
    </row>
    <row r="233" customFormat="false" ht="15" hidden="false" customHeight="false" outlineLevel="0" collapsed="false">
      <c r="A233" s="41" t="n">
        <v>46218</v>
      </c>
      <c r="B233" s="42" t="n">
        <f aca="false">DATE(YEAR(A233),MONTH(A233),1)</f>
        <v>46204</v>
      </c>
      <c r="C233" s="3" t="s">
        <v>51</v>
      </c>
      <c r="D233" s="3" t="s">
        <v>52</v>
      </c>
      <c r="E233" s="3" t="s">
        <v>28</v>
      </c>
      <c r="F233" s="3" t="n">
        <v>24</v>
      </c>
      <c r="G233" s="36" t="n">
        <v>0.85</v>
      </c>
      <c r="H233" s="36" t="n">
        <f aca="false">F233*G233</f>
        <v>20.4</v>
      </c>
      <c r="I233" s="36" t="n">
        <f aca="false">INDEX(Inventory!$D$2:$D$17,MATCH(C233,Inventory!$A$2:$A$17,0))</f>
        <v>0.45</v>
      </c>
      <c r="J233" s="36" t="n">
        <f aca="false">F233*I233</f>
        <v>10.8</v>
      </c>
      <c r="K233" s="36" t="n">
        <f aca="false">H233-J233</f>
        <v>9.6</v>
      </c>
    </row>
    <row r="234" customFormat="false" ht="15" hidden="false" customHeight="false" outlineLevel="0" collapsed="false">
      <c r="A234" s="41" t="n">
        <v>46218</v>
      </c>
      <c r="B234" s="42" t="n">
        <f aca="false">DATE(YEAR(A234),MONTH(A234),1)</f>
        <v>46204</v>
      </c>
      <c r="C234" s="3" t="s">
        <v>37</v>
      </c>
      <c r="D234" s="3" t="s">
        <v>38</v>
      </c>
      <c r="E234" s="3" t="s">
        <v>26</v>
      </c>
      <c r="F234" s="3" t="n">
        <v>17</v>
      </c>
      <c r="G234" s="36" t="n">
        <v>1.2</v>
      </c>
      <c r="H234" s="36" t="n">
        <f aca="false">F234*G234</f>
        <v>20.4</v>
      </c>
      <c r="I234" s="36" t="n">
        <f aca="false">INDEX(Inventory!$D$2:$D$17,MATCH(C234,Inventory!$A$2:$A$17,0))</f>
        <v>0.85</v>
      </c>
      <c r="J234" s="36" t="n">
        <f aca="false">F234*I234</f>
        <v>14.45</v>
      </c>
      <c r="K234" s="36" t="n">
        <f aca="false">H234-J234</f>
        <v>5.95</v>
      </c>
    </row>
    <row r="235" customFormat="false" ht="15" hidden="false" customHeight="false" outlineLevel="0" collapsed="false">
      <c r="A235" s="41" t="n">
        <v>46218</v>
      </c>
      <c r="B235" s="42" t="n">
        <f aca="false">DATE(YEAR(A235),MONTH(A235),1)</f>
        <v>46204</v>
      </c>
      <c r="C235" s="3" t="s">
        <v>47</v>
      </c>
      <c r="D235" s="3" t="s">
        <v>48</v>
      </c>
      <c r="E235" s="3" t="s">
        <v>26</v>
      </c>
      <c r="F235" s="3" t="n">
        <v>8</v>
      </c>
      <c r="G235" s="36" t="n">
        <v>2.2</v>
      </c>
      <c r="H235" s="36" t="n">
        <f aca="false">F235*G235</f>
        <v>17.6</v>
      </c>
      <c r="I235" s="36" t="n">
        <f aca="false">INDEX(Inventory!$D$2:$D$17,MATCH(C235,Inventory!$A$2:$A$17,0))</f>
        <v>1.4</v>
      </c>
      <c r="J235" s="36" t="n">
        <f aca="false">F235*I235</f>
        <v>11.2</v>
      </c>
      <c r="K235" s="36" t="n">
        <f aca="false">H235-J235</f>
        <v>6.4</v>
      </c>
    </row>
    <row r="236" customFormat="false" ht="15" hidden="false" customHeight="false" outlineLevel="0" collapsed="false">
      <c r="A236" s="41" t="n">
        <v>46218</v>
      </c>
      <c r="B236" s="42" t="n">
        <f aca="false">DATE(YEAR(A236),MONTH(A236),1)</f>
        <v>46204</v>
      </c>
      <c r="C236" s="3" t="s">
        <v>43</v>
      </c>
      <c r="D236" s="3" t="s">
        <v>44</v>
      </c>
      <c r="E236" s="3" t="s">
        <v>26</v>
      </c>
      <c r="F236" s="3" t="n">
        <v>7</v>
      </c>
      <c r="G236" s="36" t="n">
        <v>3.8</v>
      </c>
      <c r="H236" s="36" t="n">
        <f aca="false">F236*G236</f>
        <v>26.6</v>
      </c>
      <c r="I236" s="36" t="n">
        <f aca="false">INDEX(Inventory!$D$2:$D$17,MATCH(C236,Inventory!$A$2:$A$17,0))</f>
        <v>2.6</v>
      </c>
      <c r="J236" s="36" t="n">
        <f aca="false">F236*I236</f>
        <v>18.2</v>
      </c>
      <c r="K236" s="36" t="n">
        <f aca="false">H236-J236</f>
        <v>8.4</v>
      </c>
    </row>
    <row r="237" customFormat="false" ht="15" hidden="false" customHeight="false" outlineLevel="0" collapsed="false">
      <c r="A237" s="41" t="n">
        <v>46218</v>
      </c>
      <c r="B237" s="42" t="n">
        <f aca="false">DATE(YEAR(A237),MONTH(A237),1)</f>
        <v>46204</v>
      </c>
      <c r="C237" s="3" t="s">
        <v>67</v>
      </c>
      <c r="D237" s="3" t="s">
        <v>68</v>
      </c>
      <c r="E237" s="3" t="s">
        <v>26</v>
      </c>
      <c r="F237" s="3" t="n">
        <v>7</v>
      </c>
      <c r="G237" s="36" t="n">
        <v>1.9</v>
      </c>
      <c r="H237" s="36" t="n">
        <f aca="false">F237*G237</f>
        <v>13.3</v>
      </c>
      <c r="I237" s="36" t="n">
        <f aca="false">INDEX(Inventory!$D$2:$D$17,MATCH(C237,Inventory!$A$2:$A$17,0))</f>
        <v>1.3</v>
      </c>
      <c r="J237" s="36" t="n">
        <f aca="false">F237*I237</f>
        <v>9.1</v>
      </c>
      <c r="K237" s="36" t="n">
        <f aca="false">H237-J237</f>
        <v>4.2</v>
      </c>
    </row>
    <row r="238" customFormat="false" ht="15" hidden="false" customHeight="false" outlineLevel="0" collapsed="false">
      <c r="A238" s="41" t="n">
        <v>46218</v>
      </c>
      <c r="B238" s="42" t="n">
        <f aca="false">DATE(YEAR(A238),MONTH(A238),1)</f>
        <v>46204</v>
      </c>
      <c r="C238" s="3" t="s">
        <v>61</v>
      </c>
      <c r="D238" s="3" t="s">
        <v>62</v>
      </c>
      <c r="E238" s="3" t="s">
        <v>29</v>
      </c>
      <c r="F238" s="3" t="n">
        <v>10</v>
      </c>
      <c r="G238" s="36" t="n">
        <v>1.9</v>
      </c>
      <c r="H238" s="36" t="n">
        <f aca="false">F238*G238</f>
        <v>19</v>
      </c>
      <c r="I238" s="36" t="n">
        <f aca="false">INDEX(Inventory!$D$2:$D$17,MATCH(C238,Inventory!$A$2:$A$17,0))</f>
        <v>1.1</v>
      </c>
      <c r="J238" s="36" t="n">
        <f aca="false">F238*I238</f>
        <v>11</v>
      </c>
      <c r="K238" s="36" t="n">
        <f aca="false">H238-J238</f>
        <v>8</v>
      </c>
    </row>
    <row r="239" customFormat="false" ht="15" hidden="false" customHeight="false" outlineLevel="0" collapsed="false">
      <c r="A239" s="41" t="n">
        <v>46218</v>
      </c>
      <c r="B239" s="42" t="n">
        <f aca="false">DATE(YEAR(A239),MONTH(A239),1)</f>
        <v>46204</v>
      </c>
      <c r="C239" s="3" t="s">
        <v>45</v>
      </c>
      <c r="D239" s="3" t="s">
        <v>46</v>
      </c>
      <c r="E239" s="3" t="s">
        <v>29</v>
      </c>
      <c r="F239" s="3" t="n">
        <v>4</v>
      </c>
      <c r="G239" s="36" t="n">
        <v>5.2</v>
      </c>
      <c r="H239" s="36" t="n">
        <f aca="false">F239*G239</f>
        <v>20.8</v>
      </c>
      <c r="I239" s="36" t="n">
        <f aca="false">INDEX(Inventory!$D$2:$D$17,MATCH(C239,Inventory!$A$2:$A$17,0))</f>
        <v>3.5</v>
      </c>
      <c r="J239" s="36" t="n">
        <f aca="false">F239*I239</f>
        <v>14</v>
      </c>
      <c r="K239" s="36" t="n">
        <f aca="false">H239-J239</f>
        <v>6.8</v>
      </c>
    </row>
    <row r="240" customFormat="false" ht="15" hidden="false" customHeight="false" outlineLevel="0" collapsed="false">
      <c r="A240" s="41" t="n">
        <v>46218</v>
      </c>
      <c r="B240" s="42" t="n">
        <f aca="false">DATE(YEAR(A240),MONTH(A240),1)</f>
        <v>46204</v>
      </c>
      <c r="C240" s="3" t="s">
        <v>65</v>
      </c>
      <c r="D240" s="3" t="s">
        <v>66</v>
      </c>
      <c r="E240" s="3" t="s">
        <v>29</v>
      </c>
      <c r="F240" s="3" t="n">
        <v>6</v>
      </c>
      <c r="G240" s="36" t="n">
        <v>1.5</v>
      </c>
      <c r="H240" s="36" t="n">
        <f aca="false">F240*G240</f>
        <v>9</v>
      </c>
      <c r="I240" s="36" t="n">
        <f aca="false">INDEX(Inventory!$D$2:$D$17,MATCH(C240,Inventory!$A$2:$A$17,0))</f>
        <v>0.9</v>
      </c>
      <c r="J240" s="36" t="n">
        <f aca="false">F240*I240</f>
        <v>5.4</v>
      </c>
      <c r="K240" s="36" t="n">
        <f aca="false">H240-J240</f>
        <v>3.6</v>
      </c>
    </row>
    <row r="241" customFormat="false" ht="15" hidden="false" customHeight="false" outlineLevel="0" collapsed="false">
      <c r="A241" s="41" t="n">
        <v>46218</v>
      </c>
      <c r="B241" s="42" t="n">
        <f aca="false">DATE(YEAR(A241),MONTH(A241),1)</f>
        <v>46204</v>
      </c>
      <c r="C241" s="3" t="s">
        <v>55</v>
      </c>
      <c r="D241" s="3" t="s">
        <v>56</v>
      </c>
      <c r="E241" s="3" t="s">
        <v>29</v>
      </c>
      <c r="F241" s="3" t="n">
        <v>6</v>
      </c>
      <c r="G241" s="36" t="n">
        <v>2.5</v>
      </c>
      <c r="H241" s="36" t="n">
        <f aca="false">F241*G241</f>
        <v>15</v>
      </c>
      <c r="I241" s="36" t="n">
        <f aca="false">INDEX(Inventory!$D$2:$D$17,MATCH(C241,Inventory!$A$2:$A$17,0))</f>
        <v>1.6</v>
      </c>
      <c r="J241" s="36" t="n">
        <f aca="false">F241*I241</f>
        <v>9.6</v>
      </c>
      <c r="K241" s="36" t="n">
        <f aca="false">H241-J241</f>
        <v>5.4</v>
      </c>
    </row>
    <row r="242" customFormat="false" ht="15" hidden="false" customHeight="false" outlineLevel="0" collapsed="false">
      <c r="A242" s="41" t="n">
        <v>46219</v>
      </c>
      <c r="B242" s="42" t="n">
        <f aca="false">DATE(YEAR(A242),MONTH(A242),1)</f>
        <v>46204</v>
      </c>
      <c r="C242" s="3" t="s">
        <v>39</v>
      </c>
      <c r="D242" s="3" t="s">
        <v>40</v>
      </c>
      <c r="E242" s="3" t="s">
        <v>27</v>
      </c>
      <c r="F242" s="3" t="n">
        <v>18</v>
      </c>
      <c r="G242" s="36" t="n">
        <v>1</v>
      </c>
      <c r="H242" s="36" t="n">
        <f aca="false">F242*G242</f>
        <v>18</v>
      </c>
      <c r="I242" s="36" t="n">
        <f aca="false">INDEX(Inventory!$D$2:$D$17,MATCH(C242,Inventory!$A$2:$A$17,0))</f>
        <v>0.6</v>
      </c>
      <c r="J242" s="36" t="n">
        <f aca="false">F242*I242</f>
        <v>10.8</v>
      </c>
      <c r="K242" s="36" t="n">
        <f aca="false">H242-J242</f>
        <v>7.2</v>
      </c>
    </row>
    <row r="243" customFormat="false" ht="15" hidden="false" customHeight="false" outlineLevel="0" collapsed="false">
      <c r="A243" s="41" t="n">
        <v>46219</v>
      </c>
      <c r="B243" s="42" t="n">
        <f aca="false">DATE(YEAR(A243),MONTH(A243),1)</f>
        <v>46204</v>
      </c>
      <c r="C243" s="3" t="s">
        <v>53</v>
      </c>
      <c r="D243" s="3" t="s">
        <v>54</v>
      </c>
      <c r="E243" s="3" t="s">
        <v>27</v>
      </c>
      <c r="F243" s="3" t="n">
        <v>21</v>
      </c>
      <c r="G243" s="36" t="n">
        <v>0.95</v>
      </c>
      <c r="H243" s="36" t="n">
        <f aca="false">F243*G243</f>
        <v>19.95</v>
      </c>
      <c r="I243" s="36" t="n">
        <f aca="false">INDEX(Inventory!$D$2:$D$17,MATCH(C243,Inventory!$A$2:$A$17,0))</f>
        <v>0.55</v>
      </c>
      <c r="J243" s="36" t="n">
        <f aca="false">F243*I243</f>
        <v>11.55</v>
      </c>
      <c r="K243" s="36" t="n">
        <f aca="false">H243-J243</f>
        <v>8.4</v>
      </c>
    </row>
    <row r="244" customFormat="false" ht="15" hidden="false" customHeight="false" outlineLevel="0" collapsed="false">
      <c r="A244" s="41" t="n">
        <v>46219</v>
      </c>
      <c r="B244" s="42" t="n">
        <f aca="false">DATE(YEAR(A244),MONTH(A244),1)</f>
        <v>46204</v>
      </c>
      <c r="C244" s="3" t="s">
        <v>59</v>
      </c>
      <c r="D244" s="3" t="s">
        <v>60</v>
      </c>
      <c r="E244" s="3" t="s">
        <v>27</v>
      </c>
      <c r="F244" s="3" t="n">
        <v>13</v>
      </c>
      <c r="G244" s="36" t="n">
        <v>0.6</v>
      </c>
      <c r="H244" s="36" t="n">
        <f aca="false">F244*G244</f>
        <v>7.8</v>
      </c>
      <c r="I244" s="36" t="n">
        <f aca="false">INDEX(Inventory!$D$2:$D$17,MATCH(C244,Inventory!$A$2:$A$17,0))</f>
        <v>0.3</v>
      </c>
      <c r="J244" s="36" t="n">
        <f aca="false">F244*I244</f>
        <v>3.9</v>
      </c>
      <c r="K244" s="36" t="n">
        <f aca="false">H244-J244</f>
        <v>3.9</v>
      </c>
    </row>
    <row r="245" customFormat="false" ht="15" hidden="false" customHeight="false" outlineLevel="0" collapsed="false">
      <c r="A245" s="41" t="n">
        <v>46219</v>
      </c>
      <c r="B245" s="42" t="n">
        <f aca="false">DATE(YEAR(A245),MONTH(A245),1)</f>
        <v>46204</v>
      </c>
      <c r="C245" s="3" t="s">
        <v>57</v>
      </c>
      <c r="D245" s="3" t="s">
        <v>58</v>
      </c>
      <c r="E245" s="3" t="s">
        <v>27</v>
      </c>
      <c r="F245" s="3" t="n">
        <v>11</v>
      </c>
      <c r="G245" s="36" t="n">
        <v>1.5</v>
      </c>
      <c r="H245" s="36" t="n">
        <f aca="false">F245*G245</f>
        <v>16.5</v>
      </c>
      <c r="I245" s="36" t="n">
        <f aca="false">INDEX(Inventory!$D$2:$D$17,MATCH(C245,Inventory!$A$2:$A$17,0))</f>
        <v>0.9</v>
      </c>
      <c r="J245" s="36" t="n">
        <f aca="false">F245*I245</f>
        <v>9.9</v>
      </c>
      <c r="K245" s="36" t="n">
        <f aca="false">H245-J245</f>
        <v>6.6</v>
      </c>
    </row>
    <row r="246" customFormat="false" ht="15" hidden="false" customHeight="false" outlineLevel="0" collapsed="false">
      <c r="A246" s="41" t="n">
        <v>46219</v>
      </c>
      <c r="B246" s="42" t="n">
        <f aca="false">DATE(YEAR(A246),MONTH(A246),1)</f>
        <v>46204</v>
      </c>
      <c r="C246" s="3" t="s">
        <v>41</v>
      </c>
      <c r="D246" s="3" t="s">
        <v>42</v>
      </c>
      <c r="E246" s="3" t="s">
        <v>28</v>
      </c>
      <c r="F246" s="3" t="n">
        <v>22</v>
      </c>
      <c r="G246" s="36" t="n">
        <v>1.3</v>
      </c>
      <c r="H246" s="36" t="n">
        <f aca="false">F246*G246</f>
        <v>28.6</v>
      </c>
      <c r="I246" s="36" t="n">
        <f aca="false">INDEX(Inventory!$D$2:$D$17,MATCH(C246,Inventory!$A$2:$A$17,0))</f>
        <v>0.8</v>
      </c>
      <c r="J246" s="36" t="n">
        <f aca="false">F246*I246</f>
        <v>17.6</v>
      </c>
      <c r="K246" s="36" t="n">
        <f aca="false">H246-J246</f>
        <v>11</v>
      </c>
    </row>
    <row r="247" customFormat="false" ht="15" hidden="false" customHeight="false" outlineLevel="0" collapsed="false">
      <c r="A247" s="41" t="n">
        <v>46219</v>
      </c>
      <c r="B247" s="42" t="n">
        <f aca="false">DATE(YEAR(A247),MONTH(A247),1)</f>
        <v>46204</v>
      </c>
      <c r="C247" s="3" t="s">
        <v>63</v>
      </c>
      <c r="D247" s="3" t="s">
        <v>64</v>
      </c>
      <c r="E247" s="3" t="s">
        <v>28</v>
      </c>
      <c r="F247" s="3" t="n">
        <v>19</v>
      </c>
      <c r="G247" s="36" t="n">
        <v>0.9</v>
      </c>
      <c r="H247" s="36" t="n">
        <f aca="false">F247*G247</f>
        <v>17.1</v>
      </c>
      <c r="I247" s="36" t="n">
        <f aca="false">INDEX(Inventory!$D$2:$D$17,MATCH(C247,Inventory!$A$2:$A$17,0))</f>
        <v>0.5</v>
      </c>
      <c r="J247" s="36" t="n">
        <f aca="false">F247*I247</f>
        <v>9.5</v>
      </c>
      <c r="K247" s="36" t="n">
        <f aca="false">H247-J247</f>
        <v>7.6</v>
      </c>
    </row>
    <row r="248" customFormat="false" ht="15" hidden="false" customHeight="false" outlineLevel="0" collapsed="false">
      <c r="A248" s="41" t="n">
        <v>46219</v>
      </c>
      <c r="B248" s="42" t="n">
        <f aca="false">DATE(YEAR(A248),MONTH(A248),1)</f>
        <v>46204</v>
      </c>
      <c r="C248" s="3" t="s">
        <v>49</v>
      </c>
      <c r="D248" s="3" t="s">
        <v>50</v>
      </c>
      <c r="E248" s="3" t="s">
        <v>28</v>
      </c>
      <c r="F248" s="3" t="n">
        <v>16</v>
      </c>
      <c r="G248" s="36" t="n">
        <v>1.2</v>
      </c>
      <c r="H248" s="36" t="n">
        <f aca="false">F248*G248</f>
        <v>19.2</v>
      </c>
      <c r="I248" s="36" t="n">
        <f aca="false">INDEX(Inventory!$D$2:$D$17,MATCH(C248,Inventory!$A$2:$A$17,0))</f>
        <v>0.7</v>
      </c>
      <c r="J248" s="36" t="n">
        <f aca="false">F248*I248</f>
        <v>11.2</v>
      </c>
      <c r="K248" s="36" t="n">
        <f aca="false">H248-J248</f>
        <v>8</v>
      </c>
    </row>
    <row r="249" customFormat="false" ht="15" hidden="false" customHeight="false" outlineLevel="0" collapsed="false">
      <c r="A249" s="41" t="n">
        <v>46219</v>
      </c>
      <c r="B249" s="42" t="n">
        <f aca="false">DATE(YEAR(A249),MONTH(A249),1)</f>
        <v>46204</v>
      </c>
      <c r="C249" s="3" t="s">
        <v>51</v>
      </c>
      <c r="D249" s="3" t="s">
        <v>52</v>
      </c>
      <c r="E249" s="3" t="s">
        <v>28</v>
      </c>
      <c r="F249" s="3" t="n">
        <v>28</v>
      </c>
      <c r="G249" s="36" t="n">
        <v>0.85</v>
      </c>
      <c r="H249" s="36" t="n">
        <f aca="false">F249*G249</f>
        <v>23.8</v>
      </c>
      <c r="I249" s="36" t="n">
        <f aca="false">INDEX(Inventory!$D$2:$D$17,MATCH(C249,Inventory!$A$2:$A$17,0))</f>
        <v>0.45</v>
      </c>
      <c r="J249" s="36" t="n">
        <f aca="false">F249*I249</f>
        <v>12.6</v>
      </c>
      <c r="K249" s="36" t="n">
        <f aca="false">H249-J249</f>
        <v>11.2</v>
      </c>
    </row>
    <row r="250" customFormat="false" ht="15" hidden="false" customHeight="false" outlineLevel="0" collapsed="false">
      <c r="A250" s="41" t="n">
        <v>46219</v>
      </c>
      <c r="B250" s="42" t="n">
        <f aca="false">DATE(YEAR(A250),MONTH(A250),1)</f>
        <v>46204</v>
      </c>
      <c r="C250" s="3" t="s">
        <v>37</v>
      </c>
      <c r="D250" s="3" t="s">
        <v>38</v>
      </c>
      <c r="E250" s="3" t="s">
        <v>26</v>
      </c>
      <c r="F250" s="3" t="n">
        <v>22</v>
      </c>
      <c r="G250" s="36" t="n">
        <v>1.2</v>
      </c>
      <c r="H250" s="36" t="n">
        <f aca="false">F250*G250</f>
        <v>26.4</v>
      </c>
      <c r="I250" s="36" t="n">
        <f aca="false">INDEX(Inventory!$D$2:$D$17,MATCH(C250,Inventory!$A$2:$A$17,0))</f>
        <v>0.85</v>
      </c>
      <c r="J250" s="36" t="n">
        <f aca="false">F250*I250</f>
        <v>18.7</v>
      </c>
      <c r="K250" s="36" t="n">
        <f aca="false">H250-J250</f>
        <v>7.7</v>
      </c>
    </row>
    <row r="251" customFormat="false" ht="15" hidden="false" customHeight="false" outlineLevel="0" collapsed="false">
      <c r="A251" s="41" t="n">
        <v>46219</v>
      </c>
      <c r="B251" s="42" t="n">
        <f aca="false">DATE(YEAR(A251),MONTH(A251),1)</f>
        <v>46204</v>
      </c>
      <c r="C251" s="3" t="s">
        <v>47</v>
      </c>
      <c r="D251" s="3" t="s">
        <v>48</v>
      </c>
      <c r="E251" s="3" t="s">
        <v>26</v>
      </c>
      <c r="F251" s="3" t="n">
        <v>8</v>
      </c>
      <c r="G251" s="36" t="n">
        <v>2.2</v>
      </c>
      <c r="H251" s="36" t="n">
        <f aca="false">F251*G251</f>
        <v>17.6</v>
      </c>
      <c r="I251" s="36" t="n">
        <f aca="false">INDEX(Inventory!$D$2:$D$17,MATCH(C251,Inventory!$A$2:$A$17,0))</f>
        <v>1.4</v>
      </c>
      <c r="J251" s="36" t="n">
        <f aca="false">F251*I251</f>
        <v>11.2</v>
      </c>
      <c r="K251" s="36" t="n">
        <f aca="false">H251-J251</f>
        <v>6.4</v>
      </c>
    </row>
    <row r="252" customFormat="false" ht="15" hidden="false" customHeight="false" outlineLevel="0" collapsed="false">
      <c r="A252" s="41" t="n">
        <v>46219</v>
      </c>
      <c r="B252" s="42" t="n">
        <f aca="false">DATE(YEAR(A252),MONTH(A252),1)</f>
        <v>46204</v>
      </c>
      <c r="C252" s="3" t="s">
        <v>43</v>
      </c>
      <c r="D252" s="3" t="s">
        <v>44</v>
      </c>
      <c r="E252" s="3" t="s">
        <v>26</v>
      </c>
      <c r="F252" s="3" t="n">
        <v>6</v>
      </c>
      <c r="G252" s="36" t="n">
        <v>3.8</v>
      </c>
      <c r="H252" s="36" t="n">
        <f aca="false">F252*G252</f>
        <v>22.8</v>
      </c>
      <c r="I252" s="36" t="n">
        <f aca="false">INDEX(Inventory!$D$2:$D$17,MATCH(C252,Inventory!$A$2:$A$17,0))</f>
        <v>2.6</v>
      </c>
      <c r="J252" s="36" t="n">
        <f aca="false">F252*I252</f>
        <v>15.6</v>
      </c>
      <c r="K252" s="36" t="n">
        <f aca="false">H252-J252</f>
        <v>7.2</v>
      </c>
    </row>
    <row r="253" customFormat="false" ht="15" hidden="false" customHeight="false" outlineLevel="0" collapsed="false">
      <c r="A253" s="41" t="n">
        <v>46219</v>
      </c>
      <c r="B253" s="42" t="n">
        <f aca="false">DATE(YEAR(A253),MONTH(A253),1)</f>
        <v>46204</v>
      </c>
      <c r="C253" s="3" t="s">
        <v>67</v>
      </c>
      <c r="D253" s="3" t="s">
        <v>68</v>
      </c>
      <c r="E253" s="3" t="s">
        <v>26</v>
      </c>
      <c r="F253" s="3" t="n">
        <v>8</v>
      </c>
      <c r="G253" s="36" t="n">
        <v>1.9</v>
      </c>
      <c r="H253" s="36" t="n">
        <f aca="false">F253*G253</f>
        <v>15.2</v>
      </c>
      <c r="I253" s="36" t="n">
        <f aca="false">INDEX(Inventory!$D$2:$D$17,MATCH(C253,Inventory!$A$2:$A$17,0))</f>
        <v>1.3</v>
      </c>
      <c r="J253" s="36" t="n">
        <f aca="false">F253*I253</f>
        <v>10.4</v>
      </c>
      <c r="K253" s="36" t="n">
        <f aca="false">H253-J253</f>
        <v>4.8</v>
      </c>
    </row>
    <row r="254" customFormat="false" ht="15" hidden="false" customHeight="false" outlineLevel="0" collapsed="false">
      <c r="A254" s="41" t="n">
        <v>46219</v>
      </c>
      <c r="B254" s="42" t="n">
        <f aca="false">DATE(YEAR(A254),MONTH(A254),1)</f>
        <v>46204</v>
      </c>
      <c r="C254" s="3" t="s">
        <v>61</v>
      </c>
      <c r="D254" s="3" t="s">
        <v>62</v>
      </c>
      <c r="E254" s="3" t="s">
        <v>29</v>
      </c>
      <c r="F254" s="3" t="n">
        <v>11</v>
      </c>
      <c r="G254" s="36" t="n">
        <v>1.9</v>
      </c>
      <c r="H254" s="36" t="n">
        <f aca="false">F254*G254</f>
        <v>20.9</v>
      </c>
      <c r="I254" s="36" t="n">
        <f aca="false">INDEX(Inventory!$D$2:$D$17,MATCH(C254,Inventory!$A$2:$A$17,0))</f>
        <v>1.1</v>
      </c>
      <c r="J254" s="36" t="n">
        <f aca="false">F254*I254</f>
        <v>12.1</v>
      </c>
      <c r="K254" s="36" t="n">
        <f aca="false">H254-J254</f>
        <v>8.8</v>
      </c>
    </row>
    <row r="255" customFormat="false" ht="15" hidden="false" customHeight="false" outlineLevel="0" collapsed="false">
      <c r="A255" s="41" t="n">
        <v>46219</v>
      </c>
      <c r="B255" s="42" t="n">
        <f aca="false">DATE(YEAR(A255),MONTH(A255),1)</f>
        <v>46204</v>
      </c>
      <c r="C255" s="3" t="s">
        <v>45</v>
      </c>
      <c r="D255" s="3" t="s">
        <v>46</v>
      </c>
      <c r="E255" s="3" t="s">
        <v>29</v>
      </c>
      <c r="F255" s="3" t="n">
        <v>6</v>
      </c>
      <c r="G255" s="36" t="n">
        <v>5.2</v>
      </c>
      <c r="H255" s="36" t="n">
        <f aca="false">F255*G255</f>
        <v>31.2</v>
      </c>
      <c r="I255" s="36" t="n">
        <f aca="false">INDEX(Inventory!$D$2:$D$17,MATCH(C255,Inventory!$A$2:$A$17,0))</f>
        <v>3.5</v>
      </c>
      <c r="J255" s="36" t="n">
        <f aca="false">F255*I255</f>
        <v>21</v>
      </c>
      <c r="K255" s="36" t="n">
        <f aca="false">H255-J255</f>
        <v>10.2</v>
      </c>
    </row>
    <row r="256" customFormat="false" ht="15" hidden="false" customHeight="false" outlineLevel="0" collapsed="false">
      <c r="A256" s="41" t="n">
        <v>46219</v>
      </c>
      <c r="B256" s="42" t="n">
        <f aca="false">DATE(YEAR(A256),MONTH(A256),1)</f>
        <v>46204</v>
      </c>
      <c r="C256" s="3" t="s">
        <v>65</v>
      </c>
      <c r="D256" s="3" t="s">
        <v>66</v>
      </c>
      <c r="E256" s="3" t="s">
        <v>29</v>
      </c>
      <c r="F256" s="3" t="n">
        <v>15</v>
      </c>
      <c r="G256" s="36" t="n">
        <v>1.5</v>
      </c>
      <c r="H256" s="36" t="n">
        <f aca="false">F256*G256</f>
        <v>22.5</v>
      </c>
      <c r="I256" s="36" t="n">
        <f aca="false">INDEX(Inventory!$D$2:$D$17,MATCH(C256,Inventory!$A$2:$A$17,0))</f>
        <v>0.9</v>
      </c>
      <c r="J256" s="36" t="n">
        <f aca="false">F256*I256</f>
        <v>13.5</v>
      </c>
      <c r="K256" s="36" t="n">
        <f aca="false">H256-J256</f>
        <v>9</v>
      </c>
    </row>
    <row r="257" customFormat="false" ht="15" hidden="false" customHeight="false" outlineLevel="0" collapsed="false">
      <c r="A257" s="41" t="n">
        <v>46219</v>
      </c>
      <c r="B257" s="42" t="n">
        <f aca="false">DATE(YEAR(A257),MONTH(A257),1)</f>
        <v>46204</v>
      </c>
      <c r="C257" s="3" t="s">
        <v>55</v>
      </c>
      <c r="D257" s="3" t="s">
        <v>56</v>
      </c>
      <c r="E257" s="3" t="s">
        <v>29</v>
      </c>
      <c r="F257" s="3" t="n">
        <v>7</v>
      </c>
      <c r="G257" s="36" t="n">
        <v>2.5</v>
      </c>
      <c r="H257" s="36" t="n">
        <f aca="false">F257*G257</f>
        <v>17.5</v>
      </c>
      <c r="I257" s="36" t="n">
        <f aca="false">INDEX(Inventory!$D$2:$D$17,MATCH(C257,Inventory!$A$2:$A$17,0))</f>
        <v>1.6</v>
      </c>
      <c r="J257" s="36" t="n">
        <f aca="false">F257*I257</f>
        <v>11.2</v>
      </c>
      <c r="K257" s="36" t="n">
        <f aca="false">H257-J257</f>
        <v>6.3</v>
      </c>
    </row>
    <row r="258" customFormat="false" ht="15" hidden="false" customHeight="false" outlineLevel="0" collapsed="false">
      <c r="A258" s="41" t="n">
        <v>46220</v>
      </c>
      <c r="B258" s="42" t="n">
        <f aca="false">DATE(YEAR(A258),MONTH(A258),1)</f>
        <v>46204</v>
      </c>
      <c r="C258" s="3" t="s">
        <v>39</v>
      </c>
      <c r="D258" s="3" t="s">
        <v>40</v>
      </c>
      <c r="E258" s="3" t="s">
        <v>27</v>
      </c>
      <c r="F258" s="3" t="n">
        <v>34</v>
      </c>
      <c r="G258" s="36" t="n">
        <v>1</v>
      </c>
      <c r="H258" s="36" t="n">
        <f aca="false">F258*G258</f>
        <v>34</v>
      </c>
      <c r="I258" s="36" t="n">
        <f aca="false">INDEX(Inventory!$D$2:$D$17,MATCH(C258,Inventory!$A$2:$A$17,0))</f>
        <v>0.6</v>
      </c>
      <c r="J258" s="36" t="n">
        <f aca="false">F258*I258</f>
        <v>20.4</v>
      </c>
      <c r="K258" s="36" t="n">
        <f aca="false">H258-J258</f>
        <v>13.6</v>
      </c>
    </row>
    <row r="259" customFormat="false" ht="15" hidden="false" customHeight="false" outlineLevel="0" collapsed="false">
      <c r="A259" s="41" t="n">
        <v>46220</v>
      </c>
      <c r="B259" s="42" t="n">
        <f aca="false">DATE(YEAR(A259),MONTH(A259),1)</f>
        <v>46204</v>
      </c>
      <c r="C259" s="3" t="s">
        <v>53</v>
      </c>
      <c r="D259" s="3" t="s">
        <v>54</v>
      </c>
      <c r="E259" s="3" t="s">
        <v>27</v>
      </c>
      <c r="F259" s="3" t="n">
        <v>22</v>
      </c>
      <c r="G259" s="36" t="n">
        <v>0.95</v>
      </c>
      <c r="H259" s="36" t="n">
        <f aca="false">F259*G259</f>
        <v>20.9</v>
      </c>
      <c r="I259" s="36" t="n">
        <f aca="false">INDEX(Inventory!$D$2:$D$17,MATCH(C259,Inventory!$A$2:$A$17,0))</f>
        <v>0.55</v>
      </c>
      <c r="J259" s="36" t="n">
        <f aca="false">F259*I259</f>
        <v>12.1</v>
      </c>
      <c r="K259" s="36" t="n">
        <f aca="false">H259-J259</f>
        <v>8.8</v>
      </c>
    </row>
    <row r="260" customFormat="false" ht="15" hidden="false" customHeight="false" outlineLevel="0" collapsed="false">
      <c r="A260" s="41" t="n">
        <v>46220</v>
      </c>
      <c r="B260" s="42" t="n">
        <f aca="false">DATE(YEAR(A260),MONTH(A260),1)</f>
        <v>46204</v>
      </c>
      <c r="C260" s="3" t="s">
        <v>59</v>
      </c>
      <c r="D260" s="3" t="s">
        <v>60</v>
      </c>
      <c r="E260" s="3" t="s">
        <v>27</v>
      </c>
      <c r="F260" s="3" t="n">
        <v>33</v>
      </c>
      <c r="G260" s="36" t="n">
        <v>0.6</v>
      </c>
      <c r="H260" s="36" t="n">
        <f aca="false">F260*G260</f>
        <v>19.8</v>
      </c>
      <c r="I260" s="36" t="n">
        <f aca="false">INDEX(Inventory!$D$2:$D$17,MATCH(C260,Inventory!$A$2:$A$17,0))</f>
        <v>0.3</v>
      </c>
      <c r="J260" s="36" t="n">
        <f aca="false">F260*I260</f>
        <v>9.9</v>
      </c>
      <c r="K260" s="36" t="n">
        <f aca="false">H260-J260</f>
        <v>9.9</v>
      </c>
    </row>
    <row r="261" customFormat="false" ht="15" hidden="false" customHeight="false" outlineLevel="0" collapsed="false">
      <c r="A261" s="41" t="n">
        <v>46220</v>
      </c>
      <c r="B261" s="42" t="n">
        <f aca="false">DATE(YEAR(A261),MONTH(A261),1)</f>
        <v>46204</v>
      </c>
      <c r="C261" s="3" t="s">
        <v>57</v>
      </c>
      <c r="D261" s="3" t="s">
        <v>58</v>
      </c>
      <c r="E261" s="3" t="s">
        <v>27</v>
      </c>
      <c r="F261" s="3" t="n">
        <v>21</v>
      </c>
      <c r="G261" s="36" t="n">
        <v>1.5</v>
      </c>
      <c r="H261" s="36" t="n">
        <f aca="false">F261*G261</f>
        <v>31.5</v>
      </c>
      <c r="I261" s="36" t="n">
        <f aca="false">INDEX(Inventory!$D$2:$D$17,MATCH(C261,Inventory!$A$2:$A$17,0))</f>
        <v>0.9</v>
      </c>
      <c r="J261" s="36" t="n">
        <f aca="false">F261*I261</f>
        <v>18.9</v>
      </c>
      <c r="K261" s="36" t="n">
        <f aca="false">H261-J261</f>
        <v>12.6</v>
      </c>
    </row>
    <row r="262" customFormat="false" ht="15" hidden="false" customHeight="false" outlineLevel="0" collapsed="false">
      <c r="A262" s="41" t="n">
        <v>46220</v>
      </c>
      <c r="B262" s="42" t="n">
        <f aca="false">DATE(YEAR(A262),MONTH(A262),1)</f>
        <v>46204</v>
      </c>
      <c r="C262" s="3" t="s">
        <v>41</v>
      </c>
      <c r="D262" s="3" t="s">
        <v>42</v>
      </c>
      <c r="E262" s="3" t="s">
        <v>28</v>
      </c>
      <c r="F262" s="3" t="n">
        <v>31</v>
      </c>
      <c r="G262" s="36" t="n">
        <v>1.3</v>
      </c>
      <c r="H262" s="36" t="n">
        <f aca="false">F262*G262</f>
        <v>40.3</v>
      </c>
      <c r="I262" s="36" t="n">
        <f aca="false">INDEX(Inventory!$D$2:$D$17,MATCH(C262,Inventory!$A$2:$A$17,0))</f>
        <v>0.8</v>
      </c>
      <c r="J262" s="36" t="n">
        <f aca="false">F262*I262</f>
        <v>24.8</v>
      </c>
      <c r="K262" s="36" t="n">
        <f aca="false">H262-J262</f>
        <v>15.5</v>
      </c>
    </row>
    <row r="263" customFormat="false" ht="15" hidden="false" customHeight="false" outlineLevel="0" collapsed="false">
      <c r="A263" s="41" t="n">
        <v>46220</v>
      </c>
      <c r="B263" s="42" t="n">
        <f aca="false">DATE(YEAR(A263),MONTH(A263),1)</f>
        <v>46204</v>
      </c>
      <c r="C263" s="3" t="s">
        <v>63</v>
      </c>
      <c r="D263" s="3" t="s">
        <v>64</v>
      </c>
      <c r="E263" s="3" t="s">
        <v>28</v>
      </c>
      <c r="F263" s="3" t="n">
        <v>11</v>
      </c>
      <c r="G263" s="36" t="n">
        <v>0.9</v>
      </c>
      <c r="H263" s="36" t="n">
        <f aca="false">F263*G263</f>
        <v>9.9</v>
      </c>
      <c r="I263" s="36" t="n">
        <f aca="false">INDEX(Inventory!$D$2:$D$17,MATCH(C263,Inventory!$A$2:$A$17,0))</f>
        <v>0.5</v>
      </c>
      <c r="J263" s="36" t="n">
        <f aca="false">F263*I263</f>
        <v>5.5</v>
      </c>
      <c r="K263" s="36" t="n">
        <f aca="false">H263-J263</f>
        <v>4.4</v>
      </c>
    </row>
    <row r="264" customFormat="false" ht="15" hidden="false" customHeight="false" outlineLevel="0" collapsed="false">
      <c r="A264" s="41" t="n">
        <v>46220</v>
      </c>
      <c r="B264" s="42" t="n">
        <f aca="false">DATE(YEAR(A264),MONTH(A264),1)</f>
        <v>46204</v>
      </c>
      <c r="C264" s="3" t="s">
        <v>49</v>
      </c>
      <c r="D264" s="3" t="s">
        <v>50</v>
      </c>
      <c r="E264" s="3" t="s">
        <v>28</v>
      </c>
      <c r="F264" s="3" t="n">
        <v>17</v>
      </c>
      <c r="G264" s="36" t="n">
        <v>1.2</v>
      </c>
      <c r="H264" s="36" t="n">
        <f aca="false">F264*G264</f>
        <v>20.4</v>
      </c>
      <c r="I264" s="36" t="n">
        <f aca="false">INDEX(Inventory!$D$2:$D$17,MATCH(C264,Inventory!$A$2:$A$17,0))</f>
        <v>0.7</v>
      </c>
      <c r="J264" s="36" t="n">
        <f aca="false">F264*I264</f>
        <v>11.9</v>
      </c>
      <c r="K264" s="36" t="n">
        <f aca="false">H264-J264</f>
        <v>8.5</v>
      </c>
    </row>
    <row r="265" customFormat="false" ht="15" hidden="false" customHeight="false" outlineLevel="0" collapsed="false">
      <c r="A265" s="41" t="n">
        <v>46220</v>
      </c>
      <c r="B265" s="42" t="n">
        <f aca="false">DATE(YEAR(A265),MONTH(A265),1)</f>
        <v>46204</v>
      </c>
      <c r="C265" s="3" t="s">
        <v>51</v>
      </c>
      <c r="D265" s="3" t="s">
        <v>52</v>
      </c>
      <c r="E265" s="3" t="s">
        <v>28</v>
      </c>
      <c r="F265" s="3" t="n">
        <v>28</v>
      </c>
      <c r="G265" s="36" t="n">
        <v>0.85</v>
      </c>
      <c r="H265" s="36" t="n">
        <f aca="false">F265*G265</f>
        <v>23.8</v>
      </c>
      <c r="I265" s="36" t="n">
        <f aca="false">INDEX(Inventory!$D$2:$D$17,MATCH(C265,Inventory!$A$2:$A$17,0))</f>
        <v>0.45</v>
      </c>
      <c r="J265" s="36" t="n">
        <f aca="false">F265*I265</f>
        <v>12.6</v>
      </c>
      <c r="K265" s="36" t="n">
        <f aca="false">H265-J265</f>
        <v>11.2</v>
      </c>
    </row>
    <row r="266" customFormat="false" ht="15" hidden="false" customHeight="false" outlineLevel="0" collapsed="false">
      <c r="A266" s="41" t="n">
        <v>46220</v>
      </c>
      <c r="B266" s="42" t="n">
        <f aca="false">DATE(YEAR(A266),MONTH(A266),1)</f>
        <v>46204</v>
      </c>
      <c r="C266" s="3" t="s">
        <v>37</v>
      </c>
      <c r="D266" s="3" t="s">
        <v>38</v>
      </c>
      <c r="E266" s="3" t="s">
        <v>26</v>
      </c>
      <c r="F266" s="3" t="n">
        <v>32</v>
      </c>
      <c r="G266" s="36" t="n">
        <v>1.2</v>
      </c>
      <c r="H266" s="36" t="n">
        <f aca="false">F266*G266</f>
        <v>38.4</v>
      </c>
      <c r="I266" s="36" t="n">
        <f aca="false">INDEX(Inventory!$D$2:$D$17,MATCH(C266,Inventory!$A$2:$A$17,0))</f>
        <v>0.85</v>
      </c>
      <c r="J266" s="36" t="n">
        <f aca="false">F266*I266</f>
        <v>27.2</v>
      </c>
      <c r="K266" s="36" t="n">
        <f aca="false">H266-J266</f>
        <v>11.2</v>
      </c>
    </row>
    <row r="267" customFormat="false" ht="15" hidden="false" customHeight="false" outlineLevel="0" collapsed="false">
      <c r="A267" s="41" t="n">
        <v>46220</v>
      </c>
      <c r="B267" s="42" t="n">
        <f aca="false">DATE(YEAR(A267),MONTH(A267),1)</f>
        <v>46204</v>
      </c>
      <c r="C267" s="3" t="s">
        <v>47</v>
      </c>
      <c r="D267" s="3" t="s">
        <v>48</v>
      </c>
      <c r="E267" s="3" t="s">
        <v>26</v>
      </c>
      <c r="F267" s="3" t="n">
        <v>8</v>
      </c>
      <c r="G267" s="36" t="n">
        <v>2.2</v>
      </c>
      <c r="H267" s="36" t="n">
        <f aca="false">F267*G267</f>
        <v>17.6</v>
      </c>
      <c r="I267" s="36" t="n">
        <f aca="false">INDEX(Inventory!$D$2:$D$17,MATCH(C267,Inventory!$A$2:$A$17,0))</f>
        <v>1.4</v>
      </c>
      <c r="J267" s="36" t="n">
        <f aca="false">F267*I267</f>
        <v>11.2</v>
      </c>
      <c r="K267" s="36" t="n">
        <f aca="false">H267-J267</f>
        <v>6.4</v>
      </c>
    </row>
    <row r="268" customFormat="false" ht="15" hidden="false" customHeight="false" outlineLevel="0" collapsed="false">
      <c r="A268" s="41" t="n">
        <v>46220</v>
      </c>
      <c r="B268" s="42" t="n">
        <f aca="false">DATE(YEAR(A268),MONTH(A268),1)</f>
        <v>46204</v>
      </c>
      <c r="C268" s="3" t="s">
        <v>43</v>
      </c>
      <c r="D268" s="3" t="s">
        <v>44</v>
      </c>
      <c r="E268" s="3" t="s">
        <v>26</v>
      </c>
      <c r="F268" s="3" t="n">
        <v>4</v>
      </c>
      <c r="G268" s="36" t="n">
        <v>3.8</v>
      </c>
      <c r="H268" s="36" t="n">
        <f aca="false">F268*G268</f>
        <v>15.2</v>
      </c>
      <c r="I268" s="36" t="n">
        <f aca="false">INDEX(Inventory!$D$2:$D$17,MATCH(C268,Inventory!$A$2:$A$17,0))</f>
        <v>2.6</v>
      </c>
      <c r="J268" s="36" t="n">
        <f aca="false">F268*I268</f>
        <v>10.4</v>
      </c>
      <c r="K268" s="36" t="n">
        <f aca="false">H268-J268</f>
        <v>4.8</v>
      </c>
    </row>
    <row r="269" customFormat="false" ht="15" hidden="false" customHeight="false" outlineLevel="0" collapsed="false">
      <c r="A269" s="41" t="n">
        <v>46220</v>
      </c>
      <c r="B269" s="42" t="n">
        <f aca="false">DATE(YEAR(A269),MONTH(A269),1)</f>
        <v>46204</v>
      </c>
      <c r="C269" s="3" t="s">
        <v>67</v>
      </c>
      <c r="D269" s="3" t="s">
        <v>68</v>
      </c>
      <c r="E269" s="3" t="s">
        <v>26</v>
      </c>
      <c r="F269" s="3" t="n">
        <v>4</v>
      </c>
      <c r="G269" s="36" t="n">
        <v>1.9</v>
      </c>
      <c r="H269" s="36" t="n">
        <f aca="false">F269*G269</f>
        <v>7.6</v>
      </c>
      <c r="I269" s="36" t="n">
        <f aca="false">INDEX(Inventory!$D$2:$D$17,MATCH(C269,Inventory!$A$2:$A$17,0))</f>
        <v>1.3</v>
      </c>
      <c r="J269" s="36" t="n">
        <f aca="false">F269*I269</f>
        <v>5.2</v>
      </c>
      <c r="K269" s="36" t="n">
        <f aca="false">H269-J269</f>
        <v>2.4</v>
      </c>
    </row>
    <row r="270" customFormat="false" ht="15" hidden="false" customHeight="false" outlineLevel="0" collapsed="false">
      <c r="A270" s="41" t="n">
        <v>46220</v>
      </c>
      <c r="B270" s="42" t="n">
        <f aca="false">DATE(YEAR(A270),MONTH(A270),1)</f>
        <v>46204</v>
      </c>
      <c r="C270" s="3" t="s">
        <v>61</v>
      </c>
      <c r="D270" s="3" t="s">
        <v>62</v>
      </c>
      <c r="E270" s="3" t="s">
        <v>29</v>
      </c>
      <c r="F270" s="3" t="n">
        <v>10</v>
      </c>
      <c r="G270" s="36" t="n">
        <v>1.9</v>
      </c>
      <c r="H270" s="36" t="n">
        <f aca="false">F270*G270</f>
        <v>19</v>
      </c>
      <c r="I270" s="36" t="n">
        <f aca="false">INDEX(Inventory!$D$2:$D$17,MATCH(C270,Inventory!$A$2:$A$17,0))</f>
        <v>1.1</v>
      </c>
      <c r="J270" s="36" t="n">
        <f aca="false">F270*I270</f>
        <v>11</v>
      </c>
      <c r="K270" s="36" t="n">
        <f aca="false">H270-J270</f>
        <v>8</v>
      </c>
    </row>
    <row r="271" customFormat="false" ht="15" hidden="false" customHeight="false" outlineLevel="0" collapsed="false">
      <c r="A271" s="41" t="n">
        <v>46220</v>
      </c>
      <c r="B271" s="42" t="n">
        <f aca="false">DATE(YEAR(A271),MONTH(A271),1)</f>
        <v>46204</v>
      </c>
      <c r="C271" s="3" t="s">
        <v>45</v>
      </c>
      <c r="D271" s="3" t="s">
        <v>46</v>
      </c>
      <c r="E271" s="3" t="s">
        <v>29</v>
      </c>
      <c r="F271" s="3" t="n">
        <v>6</v>
      </c>
      <c r="G271" s="36" t="n">
        <v>5.2</v>
      </c>
      <c r="H271" s="36" t="n">
        <f aca="false">F271*G271</f>
        <v>31.2</v>
      </c>
      <c r="I271" s="36" t="n">
        <f aca="false">INDEX(Inventory!$D$2:$D$17,MATCH(C271,Inventory!$A$2:$A$17,0))</f>
        <v>3.5</v>
      </c>
      <c r="J271" s="36" t="n">
        <f aca="false">F271*I271</f>
        <v>21</v>
      </c>
      <c r="K271" s="36" t="n">
        <f aca="false">H271-J271</f>
        <v>10.2</v>
      </c>
    </row>
    <row r="272" customFormat="false" ht="15" hidden="false" customHeight="false" outlineLevel="0" collapsed="false">
      <c r="A272" s="41" t="n">
        <v>46220</v>
      </c>
      <c r="B272" s="42" t="n">
        <f aca="false">DATE(YEAR(A272),MONTH(A272),1)</f>
        <v>46204</v>
      </c>
      <c r="C272" s="3" t="s">
        <v>65</v>
      </c>
      <c r="D272" s="3" t="s">
        <v>66</v>
      </c>
      <c r="E272" s="3" t="s">
        <v>29</v>
      </c>
      <c r="F272" s="3" t="n">
        <v>10</v>
      </c>
      <c r="G272" s="36" t="n">
        <v>1.5</v>
      </c>
      <c r="H272" s="36" t="n">
        <f aca="false">F272*G272</f>
        <v>15</v>
      </c>
      <c r="I272" s="36" t="n">
        <f aca="false">INDEX(Inventory!$D$2:$D$17,MATCH(C272,Inventory!$A$2:$A$17,0))</f>
        <v>0.9</v>
      </c>
      <c r="J272" s="36" t="n">
        <f aca="false">F272*I272</f>
        <v>9</v>
      </c>
      <c r="K272" s="36" t="n">
        <f aca="false">H272-J272</f>
        <v>6</v>
      </c>
    </row>
    <row r="273" customFormat="false" ht="15" hidden="false" customHeight="false" outlineLevel="0" collapsed="false">
      <c r="A273" s="41" t="n">
        <v>46220</v>
      </c>
      <c r="B273" s="42" t="n">
        <f aca="false">DATE(YEAR(A273),MONTH(A273),1)</f>
        <v>46204</v>
      </c>
      <c r="C273" s="3" t="s">
        <v>55</v>
      </c>
      <c r="D273" s="3" t="s">
        <v>56</v>
      </c>
      <c r="E273" s="3" t="s">
        <v>29</v>
      </c>
      <c r="F273" s="3" t="n">
        <v>7</v>
      </c>
      <c r="G273" s="36" t="n">
        <v>2.5</v>
      </c>
      <c r="H273" s="36" t="n">
        <f aca="false">F273*G273</f>
        <v>17.5</v>
      </c>
      <c r="I273" s="36" t="n">
        <f aca="false">INDEX(Inventory!$D$2:$D$17,MATCH(C273,Inventory!$A$2:$A$17,0))</f>
        <v>1.6</v>
      </c>
      <c r="J273" s="36" t="n">
        <f aca="false">F273*I273</f>
        <v>11.2</v>
      </c>
      <c r="K273" s="36" t="n">
        <f aca="false">H273-J273</f>
        <v>6.3</v>
      </c>
    </row>
    <row r="274" customFormat="false" ht="15" hidden="false" customHeight="false" outlineLevel="0" collapsed="false">
      <c r="A274" s="41" t="n">
        <v>46221</v>
      </c>
      <c r="B274" s="42" t="n">
        <f aca="false">DATE(YEAR(A274),MONTH(A274),1)</f>
        <v>46204</v>
      </c>
      <c r="C274" s="3" t="s">
        <v>39</v>
      </c>
      <c r="D274" s="3" t="s">
        <v>40</v>
      </c>
      <c r="E274" s="3" t="s">
        <v>27</v>
      </c>
      <c r="F274" s="3" t="n">
        <v>27</v>
      </c>
      <c r="G274" s="36" t="n">
        <v>1</v>
      </c>
      <c r="H274" s="36" t="n">
        <f aca="false">F274*G274</f>
        <v>27</v>
      </c>
      <c r="I274" s="36" t="n">
        <f aca="false">INDEX(Inventory!$D$2:$D$17,MATCH(C274,Inventory!$A$2:$A$17,0))</f>
        <v>0.6</v>
      </c>
      <c r="J274" s="36" t="n">
        <f aca="false">F274*I274</f>
        <v>16.2</v>
      </c>
      <c r="K274" s="36" t="n">
        <f aca="false">H274-J274</f>
        <v>10.8</v>
      </c>
    </row>
    <row r="275" customFormat="false" ht="15" hidden="false" customHeight="false" outlineLevel="0" collapsed="false">
      <c r="A275" s="41" t="n">
        <v>46221</v>
      </c>
      <c r="B275" s="42" t="n">
        <f aca="false">DATE(YEAR(A275),MONTH(A275),1)</f>
        <v>46204</v>
      </c>
      <c r="C275" s="3" t="s">
        <v>53</v>
      </c>
      <c r="D275" s="3" t="s">
        <v>54</v>
      </c>
      <c r="E275" s="3" t="s">
        <v>27</v>
      </c>
      <c r="F275" s="3" t="n">
        <v>15</v>
      </c>
      <c r="G275" s="36" t="n">
        <v>0.95</v>
      </c>
      <c r="H275" s="36" t="n">
        <f aca="false">F275*G275</f>
        <v>14.25</v>
      </c>
      <c r="I275" s="36" t="n">
        <f aca="false">INDEX(Inventory!$D$2:$D$17,MATCH(C275,Inventory!$A$2:$A$17,0))</f>
        <v>0.55</v>
      </c>
      <c r="J275" s="36" t="n">
        <f aca="false">F275*I275</f>
        <v>8.25</v>
      </c>
      <c r="K275" s="36" t="n">
        <f aca="false">H275-J275</f>
        <v>6</v>
      </c>
    </row>
    <row r="276" customFormat="false" ht="15" hidden="false" customHeight="false" outlineLevel="0" collapsed="false">
      <c r="A276" s="41" t="n">
        <v>46221</v>
      </c>
      <c r="B276" s="42" t="n">
        <f aca="false">DATE(YEAR(A276),MONTH(A276),1)</f>
        <v>46204</v>
      </c>
      <c r="C276" s="3" t="s">
        <v>59</v>
      </c>
      <c r="D276" s="3" t="s">
        <v>60</v>
      </c>
      <c r="E276" s="3" t="s">
        <v>27</v>
      </c>
      <c r="F276" s="3" t="n">
        <v>43</v>
      </c>
      <c r="G276" s="36" t="n">
        <v>0.6</v>
      </c>
      <c r="H276" s="36" t="n">
        <f aca="false">F276*G276</f>
        <v>25.8</v>
      </c>
      <c r="I276" s="36" t="n">
        <f aca="false">INDEX(Inventory!$D$2:$D$17,MATCH(C276,Inventory!$A$2:$A$17,0))</f>
        <v>0.3</v>
      </c>
      <c r="J276" s="36" t="n">
        <f aca="false">F276*I276</f>
        <v>12.9</v>
      </c>
      <c r="K276" s="36" t="n">
        <f aca="false">H276-J276</f>
        <v>12.9</v>
      </c>
    </row>
    <row r="277" customFormat="false" ht="15" hidden="false" customHeight="false" outlineLevel="0" collapsed="false">
      <c r="A277" s="41" t="n">
        <v>46221</v>
      </c>
      <c r="B277" s="42" t="n">
        <f aca="false">DATE(YEAR(A277),MONTH(A277),1)</f>
        <v>46204</v>
      </c>
      <c r="C277" s="3" t="s">
        <v>57</v>
      </c>
      <c r="D277" s="3" t="s">
        <v>58</v>
      </c>
      <c r="E277" s="3" t="s">
        <v>27</v>
      </c>
      <c r="F277" s="3" t="n">
        <v>17</v>
      </c>
      <c r="G277" s="36" t="n">
        <v>1.5</v>
      </c>
      <c r="H277" s="36" t="n">
        <f aca="false">F277*G277</f>
        <v>25.5</v>
      </c>
      <c r="I277" s="36" t="n">
        <f aca="false">INDEX(Inventory!$D$2:$D$17,MATCH(C277,Inventory!$A$2:$A$17,0))</f>
        <v>0.9</v>
      </c>
      <c r="J277" s="36" t="n">
        <f aca="false">F277*I277</f>
        <v>15.3</v>
      </c>
      <c r="K277" s="36" t="n">
        <f aca="false">H277-J277</f>
        <v>10.2</v>
      </c>
    </row>
    <row r="278" customFormat="false" ht="15" hidden="false" customHeight="false" outlineLevel="0" collapsed="false">
      <c r="A278" s="41" t="n">
        <v>46221</v>
      </c>
      <c r="B278" s="42" t="n">
        <f aca="false">DATE(YEAR(A278),MONTH(A278),1)</f>
        <v>46204</v>
      </c>
      <c r="C278" s="3" t="s">
        <v>41</v>
      </c>
      <c r="D278" s="3" t="s">
        <v>42</v>
      </c>
      <c r="E278" s="3" t="s">
        <v>28</v>
      </c>
      <c r="F278" s="3" t="n">
        <v>32</v>
      </c>
      <c r="G278" s="36" t="n">
        <v>1.3</v>
      </c>
      <c r="H278" s="36" t="n">
        <f aca="false">F278*G278</f>
        <v>41.6</v>
      </c>
      <c r="I278" s="36" t="n">
        <f aca="false">INDEX(Inventory!$D$2:$D$17,MATCH(C278,Inventory!$A$2:$A$17,0))</f>
        <v>0.8</v>
      </c>
      <c r="J278" s="36" t="n">
        <f aca="false">F278*I278</f>
        <v>25.6</v>
      </c>
      <c r="K278" s="36" t="n">
        <f aca="false">H278-J278</f>
        <v>16</v>
      </c>
    </row>
    <row r="279" customFormat="false" ht="15" hidden="false" customHeight="false" outlineLevel="0" collapsed="false">
      <c r="A279" s="41" t="n">
        <v>46221</v>
      </c>
      <c r="B279" s="42" t="n">
        <f aca="false">DATE(YEAR(A279),MONTH(A279),1)</f>
        <v>46204</v>
      </c>
      <c r="C279" s="3" t="s">
        <v>63</v>
      </c>
      <c r="D279" s="3" t="s">
        <v>64</v>
      </c>
      <c r="E279" s="3" t="s">
        <v>28</v>
      </c>
      <c r="F279" s="3" t="n">
        <v>22</v>
      </c>
      <c r="G279" s="36" t="n">
        <v>0.9</v>
      </c>
      <c r="H279" s="36" t="n">
        <f aca="false">F279*G279</f>
        <v>19.8</v>
      </c>
      <c r="I279" s="36" t="n">
        <f aca="false">INDEX(Inventory!$D$2:$D$17,MATCH(C279,Inventory!$A$2:$A$17,0))</f>
        <v>0.5</v>
      </c>
      <c r="J279" s="36" t="n">
        <f aca="false">F279*I279</f>
        <v>11</v>
      </c>
      <c r="K279" s="36" t="n">
        <f aca="false">H279-J279</f>
        <v>8.8</v>
      </c>
    </row>
    <row r="280" customFormat="false" ht="15" hidden="false" customHeight="false" outlineLevel="0" collapsed="false">
      <c r="A280" s="41" t="n">
        <v>46221</v>
      </c>
      <c r="B280" s="42" t="n">
        <f aca="false">DATE(YEAR(A280),MONTH(A280),1)</f>
        <v>46204</v>
      </c>
      <c r="C280" s="3" t="s">
        <v>49</v>
      </c>
      <c r="D280" s="3" t="s">
        <v>50</v>
      </c>
      <c r="E280" s="3" t="s">
        <v>28</v>
      </c>
      <c r="F280" s="3" t="n">
        <v>21</v>
      </c>
      <c r="G280" s="36" t="n">
        <v>1.2</v>
      </c>
      <c r="H280" s="36" t="n">
        <f aca="false">F280*G280</f>
        <v>25.2</v>
      </c>
      <c r="I280" s="36" t="n">
        <f aca="false">INDEX(Inventory!$D$2:$D$17,MATCH(C280,Inventory!$A$2:$A$17,0))</f>
        <v>0.7</v>
      </c>
      <c r="J280" s="36" t="n">
        <f aca="false">F280*I280</f>
        <v>14.7</v>
      </c>
      <c r="K280" s="36" t="n">
        <f aca="false">H280-J280</f>
        <v>10.5</v>
      </c>
    </row>
    <row r="281" customFormat="false" ht="15" hidden="false" customHeight="false" outlineLevel="0" collapsed="false">
      <c r="A281" s="41" t="n">
        <v>46221</v>
      </c>
      <c r="B281" s="42" t="n">
        <f aca="false">DATE(YEAR(A281),MONTH(A281),1)</f>
        <v>46204</v>
      </c>
      <c r="C281" s="3" t="s">
        <v>51</v>
      </c>
      <c r="D281" s="3" t="s">
        <v>52</v>
      </c>
      <c r="E281" s="3" t="s">
        <v>28</v>
      </c>
      <c r="F281" s="3" t="n">
        <v>37</v>
      </c>
      <c r="G281" s="36" t="n">
        <v>0.85</v>
      </c>
      <c r="H281" s="36" t="n">
        <f aca="false">F281*G281</f>
        <v>31.45</v>
      </c>
      <c r="I281" s="36" t="n">
        <f aca="false">INDEX(Inventory!$D$2:$D$17,MATCH(C281,Inventory!$A$2:$A$17,0))</f>
        <v>0.45</v>
      </c>
      <c r="J281" s="36" t="n">
        <f aca="false">F281*I281</f>
        <v>16.65</v>
      </c>
      <c r="K281" s="36" t="n">
        <f aca="false">H281-J281</f>
        <v>14.8</v>
      </c>
    </row>
    <row r="282" customFormat="false" ht="15" hidden="false" customHeight="false" outlineLevel="0" collapsed="false">
      <c r="A282" s="41" t="n">
        <v>46221</v>
      </c>
      <c r="B282" s="42" t="n">
        <f aca="false">DATE(YEAR(A282),MONTH(A282),1)</f>
        <v>46204</v>
      </c>
      <c r="C282" s="3" t="s">
        <v>37</v>
      </c>
      <c r="D282" s="3" t="s">
        <v>38</v>
      </c>
      <c r="E282" s="3" t="s">
        <v>26</v>
      </c>
      <c r="F282" s="3" t="n">
        <v>32</v>
      </c>
      <c r="G282" s="36" t="n">
        <v>1.2</v>
      </c>
      <c r="H282" s="36" t="n">
        <f aca="false">F282*G282</f>
        <v>38.4</v>
      </c>
      <c r="I282" s="36" t="n">
        <f aca="false">INDEX(Inventory!$D$2:$D$17,MATCH(C282,Inventory!$A$2:$A$17,0))</f>
        <v>0.85</v>
      </c>
      <c r="J282" s="36" t="n">
        <f aca="false">F282*I282</f>
        <v>27.2</v>
      </c>
      <c r="K282" s="36" t="n">
        <f aca="false">H282-J282</f>
        <v>11.2</v>
      </c>
    </row>
    <row r="283" customFormat="false" ht="15" hidden="false" customHeight="false" outlineLevel="0" collapsed="false">
      <c r="A283" s="41" t="n">
        <v>46221</v>
      </c>
      <c r="B283" s="42" t="n">
        <f aca="false">DATE(YEAR(A283),MONTH(A283),1)</f>
        <v>46204</v>
      </c>
      <c r="C283" s="3" t="s">
        <v>47</v>
      </c>
      <c r="D283" s="3" t="s">
        <v>48</v>
      </c>
      <c r="E283" s="3" t="s">
        <v>26</v>
      </c>
      <c r="F283" s="3" t="n">
        <v>12</v>
      </c>
      <c r="G283" s="36" t="n">
        <v>2.2</v>
      </c>
      <c r="H283" s="36" t="n">
        <f aca="false">F283*G283</f>
        <v>26.4</v>
      </c>
      <c r="I283" s="36" t="n">
        <f aca="false">INDEX(Inventory!$D$2:$D$17,MATCH(C283,Inventory!$A$2:$A$17,0))</f>
        <v>1.4</v>
      </c>
      <c r="J283" s="36" t="n">
        <f aca="false">F283*I283</f>
        <v>16.8</v>
      </c>
      <c r="K283" s="36" t="n">
        <f aca="false">H283-J283</f>
        <v>9.60000000000001</v>
      </c>
    </row>
    <row r="284" customFormat="false" ht="15" hidden="false" customHeight="false" outlineLevel="0" collapsed="false">
      <c r="A284" s="41" t="n">
        <v>46221</v>
      </c>
      <c r="B284" s="42" t="n">
        <f aca="false">DATE(YEAR(A284),MONTH(A284),1)</f>
        <v>46204</v>
      </c>
      <c r="C284" s="3" t="s">
        <v>43</v>
      </c>
      <c r="D284" s="3" t="s">
        <v>44</v>
      </c>
      <c r="E284" s="3" t="s">
        <v>26</v>
      </c>
      <c r="F284" s="3" t="n">
        <v>9</v>
      </c>
      <c r="G284" s="36" t="n">
        <v>3.8</v>
      </c>
      <c r="H284" s="36" t="n">
        <f aca="false">F284*G284</f>
        <v>34.2</v>
      </c>
      <c r="I284" s="36" t="n">
        <f aca="false">INDEX(Inventory!$D$2:$D$17,MATCH(C284,Inventory!$A$2:$A$17,0))</f>
        <v>2.6</v>
      </c>
      <c r="J284" s="36" t="n">
        <f aca="false">F284*I284</f>
        <v>23.4</v>
      </c>
      <c r="K284" s="36" t="n">
        <f aca="false">H284-J284</f>
        <v>10.8</v>
      </c>
    </row>
    <row r="285" customFormat="false" ht="15" hidden="false" customHeight="false" outlineLevel="0" collapsed="false">
      <c r="A285" s="41" t="n">
        <v>46221</v>
      </c>
      <c r="B285" s="42" t="n">
        <f aca="false">DATE(YEAR(A285),MONTH(A285),1)</f>
        <v>46204</v>
      </c>
      <c r="C285" s="3" t="s">
        <v>67</v>
      </c>
      <c r="D285" s="3" t="s">
        <v>68</v>
      </c>
      <c r="E285" s="3" t="s">
        <v>26</v>
      </c>
      <c r="F285" s="3" t="n">
        <v>7</v>
      </c>
      <c r="G285" s="36" t="n">
        <v>1.9</v>
      </c>
      <c r="H285" s="36" t="n">
        <f aca="false">F285*G285</f>
        <v>13.3</v>
      </c>
      <c r="I285" s="36" t="n">
        <f aca="false">INDEX(Inventory!$D$2:$D$17,MATCH(C285,Inventory!$A$2:$A$17,0))</f>
        <v>1.3</v>
      </c>
      <c r="J285" s="36" t="n">
        <f aca="false">F285*I285</f>
        <v>9.1</v>
      </c>
      <c r="K285" s="36" t="n">
        <f aca="false">H285-J285</f>
        <v>4.2</v>
      </c>
    </row>
    <row r="286" customFormat="false" ht="15" hidden="false" customHeight="false" outlineLevel="0" collapsed="false">
      <c r="A286" s="41" t="n">
        <v>46221</v>
      </c>
      <c r="B286" s="42" t="n">
        <f aca="false">DATE(YEAR(A286),MONTH(A286),1)</f>
        <v>46204</v>
      </c>
      <c r="C286" s="3" t="s">
        <v>61</v>
      </c>
      <c r="D286" s="3" t="s">
        <v>62</v>
      </c>
      <c r="E286" s="3" t="s">
        <v>29</v>
      </c>
      <c r="F286" s="3" t="n">
        <v>7</v>
      </c>
      <c r="G286" s="36" t="n">
        <v>1.9</v>
      </c>
      <c r="H286" s="36" t="n">
        <f aca="false">F286*G286</f>
        <v>13.3</v>
      </c>
      <c r="I286" s="36" t="n">
        <f aca="false">INDEX(Inventory!$D$2:$D$17,MATCH(C286,Inventory!$A$2:$A$17,0))</f>
        <v>1.1</v>
      </c>
      <c r="J286" s="36" t="n">
        <f aca="false">F286*I286</f>
        <v>7.7</v>
      </c>
      <c r="K286" s="36" t="n">
        <f aca="false">H286-J286</f>
        <v>5.6</v>
      </c>
    </row>
    <row r="287" customFormat="false" ht="15" hidden="false" customHeight="false" outlineLevel="0" collapsed="false">
      <c r="A287" s="41" t="n">
        <v>46221</v>
      </c>
      <c r="B287" s="42" t="n">
        <f aca="false">DATE(YEAR(A287),MONTH(A287),1)</f>
        <v>46204</v>
      </c>
      <c r="C287" s="3" t="s">
        <v>45</v>
      </c>
      <c r="D287" s="3" t="s">
        <v>46</v>
      </c>
      <c r="E287" s="3" t="s">
        <v>29</v>
      </c>
      <c r="F287" s="3" t="n">
        <v>7</v>
      </c>
      <c r="G287" s="36" t="n">
        <v>5.2</v>
      </c>
      <c r="H287" s="36" t="n">
        <f aca="false">F287*G287</f>
        <v>36.4</v>
      </c>
      <c r="I287" s="36" t="n">
        <f aca="false">INDEX(Inventory!$D$2:$D$17,MATCH(C287,Inventory!$A$2:$A$17,0))</f>
        <v>3.5</v>
      </c>
      <c r="J287" s="36" t="n">
        <f aca="false">F287*I287</f>
        <v>24.5</v>
      </c>
      <c r="K287" s="36" t="n">
        <f aca="false">H287-J287</f>
        <v>11.9</v>
      </c>
    </row>
    <row r="288" customFormat="false" ht="15" hidden="false" customHeight="false" outlineLevel="0" collapsed="false">
      <c r="A288" s="41" t="n">
        <v>46221</v>
      </c>
      <c r="B288" s="42" t="n">
        <f aca="false">DATE(YEAR(A288),MONTH(A288),1)</f>
        <v>46204</v>
      </c>
      <c r="C288" s="3" t="s">
        <v>65</v>
      </c>
      <c r="D288" s="3" t="s">
        <v>66</v>
      </c>
      <c r="E288" s="3" t="s">
        <v>29</v>
      </c>
      <c r="F288" s="3" t="n">
        <v>11</v>
      </c>
      <c r="G288" s="36" t="n">
        <v>1.5</v>
      </c>
      <c r="H288" s="36" t="n">
        <f aca="false">F288*G288</f>
        <v>16.5</v>
      </c>
      <c r="I288" s="36" t="n">
        <f aca="false">INDEX(Inventory!$D$2:$D$17,MATCH(C288,Inventory!$A$2:$A$17,0))</f>
        <v>0.9</v>
      </c>
      <c r="J288" s="36" t="n">
        <f aca="false">F288*I288</f>
        <v>9.9</v>
      </c>
      <c r="K288" s="36" t="n">
        <f aca="false">H288-J288</f>
        <v>6.6</v>
      </c>
    </row>
    <row r="289" customFormat="false" ht="15" hidden="false" customHeight="false" outlineLevel="0" collapsed="false">
      <c r="A289" s="41" t="n">
        <v>46221</v>
      </c>
      <c r="B289" s="42" t="n">
        <f aca="false">DATE(YEAR(A289),MONTH(A289),1)</f>
        <v>46204</v>
      </c>
      <c r="C289" s="3" t="s">
        <v>55</v>
      </c>
      <c r="D289" s="3" t="s">
        <v>56</v>
      </c>
      <c r="E289" s="3" t="s">
        <v>29</v>
      </c>
      <c r="F289" s="3" t="n">
        <v>9</v>
      </c>
      <c r="G289" s="36" t="n">
        <v>2.5</v>
      </c>
      <c r="H289" s="36" t="n">
        <f aca="false">F289*G289</f>
        <v>22.5</v>
      </c>
      <c r="I289" s="36" t="n">
        <f aca="false">INDEX(Inventory!$D$2:$D$17,MATCH(C289,Inventory!$A$2:$A$17,0))</f>
        <v>1.6</v>
      </c>
      <c r="J289" s="36" t="n">
        <f aca="false">F289*I289</f>
        <v>14.4</v>
      </c>
      <c r="K289" s="36" t="n">
        <f aca="false">H289-J289</f>
        <v>8.1</v>
      </c>
    </row>
    <row r="290" customFormat="false" ht="15" hidden="false" customHeight="false" outlineLevel="0" collapsed="false">
      <c r="A290" s="41" t="n">
        <v>46222</v>
      </c>
      <c r="B290" s="42" t="n">
        <f aca="false">DATE(YEAR(A290),MONTH(A290),1)</f>
        <v>46204</v>
      </c>
      <c r="C290" s="3" t="s">
        <v>39</v>
      </c>
      <c r="D290" s="3" t="s">
        <v>40</v>
      </c>
      <c r="E290" s="3" t="s">
        <v>27</v>
      </c>
      <c r="F290" s="3" t="n">
        <v>29</v>
      </c>
      <c r="G290" s="36" t="n">
        <v>1</v>
      </c>
      <c r="H290" s="36" t="n">
        <f aca="false">F290*G290</f>
        <v>29</v>
      </c>
      <c r="I290" s="36" t="n">
        <f aca="false">INDEX(Inventory!$D$2:$D$17,MATCH(C290,Inventory!$A$2:$A$17,0))</f>
        <v>0.6</v>
      </c>
      <c r="J290" s="36" t="n">
        <f aca="false">F290*I290</f>
        <v>17.4</v>
      </c>
      <c r="K290" s="36" t="n">
        <f aca="false">H290-J290</f>
        <v>11.6</v>
      </c>
    </row>
    <row r="291" customFormat="false" ht="15" hidden="false" customHeight="false" outlineLevel="0" collapsed="false">
      <c r="A291" s="41" t="n">
        <v>46222</v>
      </c>
      <c r="B291" s="42" t="n">
        <f aca="false">DATE(YEAR(A291),MONTH(A291),1)</f>
        <v>46204</v>
      </c>
      <c r="C291" s="3" t="s">
        <v>53</v>
      </c>
      <c r="D291" s="3" t="s">
        <v>54</v>
      </c>
      <c r="E291" s="3" t="s">
        <v>27</v>
      </c>
      <c r="F291" s="3" t="n">
        <v>25</v>
      </c>
      <c r="G291" s="36" t="n">
        <v>0.95</v>
      </c>
      <c r="H291" s="36" t="n">
        <f aca="false">F291*G291</f>
        <v>23.75</v>
      </c>
      <c r="I291" s="36" t="n">
        <f aca="false">INDEX(Inventory!$D$2:$D$17,MATCH(C291,Inventory!$A$2:$A$17,0))</f>
        <v>0.55</v>
      </c>
      <c r="J291" s="36" t="n">
        <f aca="false">F291*I291</f>
        <v>13.75</v>
      </c>
      <c r="K291" s="36" t="n">
        <f aca="false">H291-J291</f>
        <v>10</v>
      </c>
    </row>
    <row r="292" customFormat="false" ht="15" hidden="false" customHeight="false" outlineLevel="0" collapsed="false">
      <c r="A292" s="41" t="n">
        <v>46222</v>
      </c>
      <c r="B292" s="42" t="n">
        <f aca="false">DATE(YEAR(A292),MONTH(A292),1)</f>
        <v>46204</v>
      </c>
      <c r="C292" s="3" t="s">
        <v>59</v>
      </c>
      <c r="D292" s="3" t="s">
        <v>60</v>
      </c>
      <c r="E292" s="3" t="s">
        <v>27</v>
      </c>
      <c r="F292" s="3" t="n">
        <v>52</v>
      </c>
      <c r="G292" s="36" t="n">
        <v>0.6</v>
      </c>
      <c r="H292" s="36" t="n">
        <f aca="false">F292*G292</f>
        <v>31.2</v>
      </c>
      <c r="I292" s="36" t="n">
        <f aca="false">INDEX(Inventory!$D$2:$D$17,MATCH(C292,Inventory!$A$2:$A$17,0))</f>
        <v>0.3</v>
      </c>
      <c r="J292" s="36" t="n">
        <f aca="false">F292*I292</f>
        <v>15.6</v>
      </c>
      <c r="K292" s="36" t="n">
        <f aca="false">H292-J292</f>
        <v>15.6</v>
      </c>
    </row>
    <row r="293" customFormat="false" ht="15" hidden="false" customHeight="false" outlineLevel="0" collapsed="false">
      <c r="A293" s="41" t="n">
        <v>46222</v>
      </c>
      <c r="B293" s="42" t="n">
        <f aca="false">DATE(YEAR(A293),MONTH(A293),1)</f>
        <v>46204</v>
      </c>
      <c r="C293" s="3" t="s">
        <v>57</v>
      </c>
      <c r="D293" s="3" t="s">
        <v>58</v>
      </c>
      <c r="E293" s="3" t="s">
        <v>27</v>
      </c>
      <c r="F293" s="3" t="n">
        <v>16</v>
      </c>
      <c r="G293" s="36" t="n">
        <v>1.5</v>
      </c>
      <c r="H293" s="36" t="n">
        <f aca="false">F293*G293</f>
        <v>24</v>
      </c>
      <c r="I293" s="36" t="n">
        <f aca="false">INDEX(Inventory!$D$2:$D$17,MATCH(C293,Inventory!$A$2:$A$17,0))</f>
        <v>0.9</v>
      </c>
      <c r="J293" s="36" t="n">
        <f aca="false">F293*I293</f>
        <v>14.4</v>
      </c>
      <c r="K293" s="36" t="n">
        <f aca="false">H293-J293</f>
        <v>9.6</v>
      </c>
    </row>
    <row r="294" customFormat="false" ht="15" hidden="false" customHeight="false" outlineLevel="0" collapsed="false">
      <c r="A294" s="41" t="n">
        <v>46222</v>
      </c>
      <c r="B294" s="42" t="n">
        <f aca="false">DATE(YEAR(A294),MONTH(A294),1)</f>
        <v>46204</v>
      </c>
      <c r="C294" s="3" t="s">
        <v>41</v>
      </c>
      <c r="D294" s="3" t="s">
        <v>42</v>
      </c>
      <c r="E294" s="3" t="s">
        <v>28</v>
      </c>
      <c r="F294" s="3" t="n">
        <v>23</v>
      </c>
      <c r="G294" s="36" t="n">
        <v>1.3</v>
      </c>
      <c r="H294" s="36" t="n">
        <f aca="false">F294*G294</f>
        <v>29.9</v>
      </c>
      <c r="I294" s="36" t="n">
        <f aca="false">INDEX(Inventory!$D$2:$D$17,MATCH(C294,Inventory!$A$2:$A$17,0))</f>
        <v>0.8</v>
      </c>
      <c r="J294" s="36" t="n">
        <f aca="false">F294*I294</f>
        <v>18.4</v>
      </c>
      <c r="K294" s="36" t="n">
        <f aca="false">H294-J294</f>
        <v>11.5</v>
      </c>
    </row>
    <row r="295" customFormat="false" ht="15" hidden="false" customHeight="false" outlineLevel="0" collapsed="false">
      <c r="A295" s="41" t="n">
        <v>46222</v>
      </c>
      <c r="B295" s="42" t="n">
        <f aca="false">DATE(YEAR(A295),MONTH(A295),1)</f>
        <v>46204</v>
      </c>
      <c r="C295" s="3" t="s">
        <v>63</v>
      </c>
      <c r="D295" s="3" t="s">
        <v>64</v>
      </c>
      <c r="E295" s="3" t="s">
        <v>28</v>
      </c>
      <c r="F295" s="3" t="n">
        <v>16</v>
      </c>
      <c r="G295" s="36" t="n">
        <v>0.9</v>
      </c>
      <c r="H295" s="36" t="n">
        <f aca="false">F295*G295</f>
        <v>14.4</v>
      </c>
      <c r="I295" s="36" t="n">
        <f aca="false">INDEX(Inventory!$D$2:$D$17,MATCH(C295,Inventory!$A$2:$A$17,0))</f>
        <v>0.5</v>
      </c>
      <c r="J295" s="36" t="n">
        <f aca="false">F295*I295</f>
        <v>8</v>
      </c>
      <c r="K295" s="36" t="n">
        <f aca="false">H295-J295</f>
        <v>6.4</v>
      </c>
    </row>
    <row r="296" customFormat="false" ht="15" hidden="false" customHeight="false" outlineLevel="0" collapsed="false">
      <c r="A296" s="41" t="n">
        <v>46222</v>
      </c>
      <c r="B296" s="42" t="n">
        <f aca="false">DATE(YEAR(A296),MONTH(A296),1)</f>
        <v>46204</v>
      </c>
      <c r="C296" s="3" t="s">
        <v>49</v>
      </c>
      <c r="D296" s="3" t="s">
        <v>50</v>
      </c>
      <c r="E296" s="3" t="s">
        <v>28</v>
      </c>
      <c r="F296" s="3" t="n">
        <v>21</v>
      </c>
      <c r="G296" s="36" t="n">
        <v>1.2</v>
      </c>
      <c r="H296" s="36" t="n">
        <f aca="false">F296*G296</f>
        <v>25.2</v>
      </c>
      <c r="I296" s="36" t="n">
        <f aca="false">INDEX(Inventory!$D$2:$D$17,MATCH(C296,Inventory!$A$2:$A$17,0))</f>
        <v>0.7</v>
      </c>
      <c r="J296" s="36" t="n">
        <f aca="false">F296*I296</f>
        <v>14.7</v>
      </c>
      <c r="K296" s="36" t="n">
        <f aca="false">H296-J296</f>
        <v>10.5</v>
      </c>
    </row>
    <row r="297" customFormat="false" ht="15" hidden="false" customHeight="false" outlineLevel="0" collapsed="false">
      <c r="A297" s="41" t="n">
        <v>46222</v>
      </c>
      <c r="B297" s="42" t="n">
        <f aca="false">DATE(YEAR(A297),MONTH(A297),1)</f>
        <v>46204</v>
      </c>
      <c r="C297" s="3" t="s">
        <v>51</v>
      </c>
      <c r="D297" s="3" t="s">
        <v>52</v>
      </c>
      <c r="E297" s="3" t="s">
        <v>28</v>
      </c>
      <c r="F297" s="3" t="n">
        <v>22</v>
      </c>
      <c r="G297" s="36" t="n">
        <v>0.85</v>
      </c>
      <c r="H297" s="36" t="n">
        <f aca="false">F297*G297</f>
        <v>18.7</v>
      </c>
      <c r="I297" s="36" t="n">
        <f aca="false">INDEX(Inventory!$D$2:$D$17,MATCH(C297,Inventory!$A$2:$A$17,0))</f>
        <v>0.45</v>
      </c>
      <c r="J297" s="36" t="n">
        <f aca="false">F297*I297</f>
        <v>9.9</v>
      </c>
      <c r="K297" s="36" t="n">
        <f aca="false">H297-J297</f>
        <v>8.8</v>
      </c>
    </row>
    <row r="298" customFormat="false" ht="15" hidden="false" customHeight="false" outlineLevel="0" collapsed="false">
      <c r="A298" s="41" t="n">
        <v>46222</v>
      </c>
      <c r="B298" s="42" t="n">
        <f aca="false">DATE(YEAR(A298),MONTH(A298),1)</f>
        <v>46204</v>
      </c>
      <c r="C298" s="3" t="s">
        <v>37</v>
      </c>
      <c r="D298" s="3" t="s">
        <v>38</v>
      </c>
      <c r="E298" s="3" t="s">
        <v>26</v>
      </c>
      <c r="F298" s="3" t="n">
        <v>30</v>
      </c>
      <c r="G298" s="36" t="n">
        <v>1.2</v>
      </c>
      <c r="H298" s="36" t="n">
        <f aca="false">F298*G298</f>
        <v>36</v>
      </c>
      <c r="I298" s="36" t="n">
        <f aca="false">INDEX(Inventory!$D$2:$D$17,MATCH(C298,Inventory!$A$2:$A$17,0))</f>
        <v>0.85</v>
      </c>
      <c r="J298" s="36" t="n">
        <f aca="false">F298*I298</f>
        <v>25.5</v>
      </c>
      <c r="K298" s="36" t="n">
        <f aca="false">H298-J298</f>
        <v>10.5</v>
      </c>
    </row>
    <row r="299" customFormat="false" ht="15" hidden="false" customHeight="false" outlineLevel="0" collapsed="false">
      <c r="A299" s="41" t="n">
        <v>46222</v>
      </c>
      <c r="B299" s="42" t="n">
        <f aca="false">DATE(YEAR(A299),MONTH(A299),1)</f>
        <v>46204</v>
      </c>
      <c r="C299" s="3" t="s">
        <v>47</v>
      </c>
      <c r="D299" s="3" t="s">
        <v>48</v>
      </c>
      <c r="E299" s="3" t="s">
        <v>26</v>
      </c>
      <c r="F299" s="3" t="n">
        <v>13</v>
      </c>
      <c r="G299" s="36" t="n">
        <v>2.2</v>
      </c>
      <c r="H299" s="36" t="n">
        <f aca="false">F299*G299</f>
        <v>28.6</v>
      </c>
      <c r="I299" s="36" t="n">
        <f aca="false">INDEX(Inventory!$D$2:$D$17,MATCH(C299,Inventory!$A$2:$A$17,0))</f>
        <v>1.4</v>
      </c>
      <c r="J299" s="36" t="n">
        <f aca="false">F299*I299</f>
        <v>18.2</v>
      </c>
      <c r="K299" s="36" t="n">
        <f aca="false">H299-J299</f>
        <v>10.4</v>
      </c>
    </row>
    <row r="300" customFormat="false" ht="15" hidden="false" customHeight="false" outlineLevel="0" collapsed="false">
      <c r="A300" s="41" t="n">
        <v>46222</v>
      </c>
      <c r="B300" s="42" t="n">
        <f aca="false">DATE(YEAR(A300),MONTH(A300),1)</f>
        <v>46204</v>
      </c>
      <c r="C300" s="3" t="s">
        <v>43</v>
      </c>
      <c r="D300" s="3" t="s">
        <v>44</v>
      </c>
      <c r="E300" s="3" t="s">
        <v>26</v>
      </c>
      <c r="F300" s="3" t="n">
        <v>12</v>
      </c>
      <c r="G300" s="36" t="n">
        <v>3.8</v>
      </c>
      <c r="H300" s="36" t="n">
        <f aca="false">F300*G300</f>
        <v>45.6</v>
      </c>
      <c r="I300" s="36" t="n">
        <f aca="false">INDEX(Inventory!$D$2:$D$17,MATCH(C300,Inventory!$A$2:$A$17,0))</f>
        <v>2.6</v>
      </c>
      <c r="J300" s="36" t="n">
        <f aca="false">F300*I300</f>
        <v>31.2</v>
      </c>
      <c r="K300" s="36" t="n">
        <f aca="false">H300-J300</f>
        <v>14.4</v>
      </c>
    </row>
    <row r="301" customFormat="false" ht="15" hidden="false" customHeight="false" outlineLevel="0" collapsed="false">
      <c r="A301" s="41" t="n">
        <v>46222</v>
      </c>
      <c r="B301" s="42" t="n">
        <f aca="false">DATE(YEAR(A301),MONTH(A301),1)</f>
        <v>46204</v>
      </c>
      <c r="C301" s="3" t="s">
        <v>67</v>
      </c>
      <c r="D301" s="3" t="s">
        <v>68</v>
      </c>
      <c r="E301" s="3" t="s">
        <v>26</v>
      </c>
      <c r="F301" s="3" t="n">
        <v>9</v>
      </c>
      <c r="G301" s="36" t="n">
        <v>1.9</v>
      </c>
      <c r="H301" s="36" t="n">
        <f aca="false">F301*G301</f>
        <v>17.1</v>
      </c>
      <c r="I301" s="36" t="n">
        <f aca="false">INDEX(Inventory!$D$2:$D$17,MATCH(C301,Inventory!$A$2:$A$17,0))</f>
        <v>1.3</v>
      </c>
      <c r="J301" s="36" t="n">
        <f aca="false">F301*I301</f>
        <v>11.7</v>
      </c>
      <c r="K301" s="36" t="n">
        <f aca="false">H301-J301</f>
        <v>5.4</v>
      </c>
    </row>
    <row r="302" customFormat="false" ht="15" hidden="false" customHeight="false" outlineLevel="0" collapsed="false">
      <c r="A302" s="41" t="n">
        <v>46222</v>
      </c>
      <c r="B302" s="42" t="n">
        <f aca="false">DATE(YEAR(A302),MONTH(A302),1)</f>
        <v>46204</v>
      </c>
      <c r="C302" s="3" t="s">
        <v>61</v>
      </c>
      <c r="D302" s="3" t="s">
        <v>62</v>
      </c>
      <c r="E302" s="3" t="s">
        <v>29</v>
      </c>
      <c r="F302" s="3" t="n">
        <v>14</v>
      </c>
      <c r="G302" s="36" t="n">
        <v>1.9</v>
      </c>
      <c r="H302" s="36" t="n">
        <f aca="false">F302*G302</f>
        <v>26.6</v>
      </c>
      <c r="I302" s="36" t="n">
        <f aca="false">INDEX(Inventory!$D$2:$D$17,MATCH(C302,Inventory!$A$2:$A$17,0))</f>
        <v>1.1</v>
      </c>
      <c r="J302" s="36" t="n">
        <f aca="false">F302*I302</f>
        <v>15.4</v>
      </c>
      <c r="K302" s="36" t="n">
        <f aca="false">H302-J302</f>
        <v>11.2</v>
      </c>
    </row>
    <row r="303" customFormat="false" ht="15" hidden="false" customHeight="false" outlineLevel="0" collapsed="false">
      <c r="A303" s="41" t="n">
        <v>46222</v>
      </c>
      <c r="B303" s="42" t="n">
        <f aca="false">DATE(YEAR(A303),MONTH(A303),1)</f>
        <v>46204</v>
      </c>
      <c r="C303" s="3" t="s">
        <v>45</v>
      </c>
      <c r="D303" s="3" t="s">
        <v>46</v>
      </c>
      <c r="E303" s="3" t="s">
        <v>29</v>
      </c>
      <c r="F303" s="3" t="n">
        <v>6</v>
      </c>
      <c r="G303" s="36" t="n">
        <v>5.2</v>
      </c>
      <c r="H303" s="36" t="n">
        <f aca="false">F303*G303</f>
        <v>31.2</v>
      </c>
      <c r="I303" s="36" t="n">
        <f aca="false">INDEX(Inventory!$D$2:$D$17,MATCH(C303,Inventory!$A$2:$A$17,0))</f>
        <v>3.5</v>
      </c>
      <c r="J303" s="36" t="n">
        <f aca="false">F303*I303</f>
        <v>21</v>
      </c>
      <c r="K303" s="36" t="n">
        <f aca="false">H303-J303</f>
        <v>10.2</v>
      </c>
    </row>
    <row r="304" customFormat="false" ht="15" hidden="false" customHeight="false" outlineLevel="0" collapsed="false">
      <c r="A304" s="41" t="n">
        <v>46222</v>
      </c>
      <c r="B304" s="42" t="n">
        <f aca="false">DATE(YEAR(A304),MONTH(A304),1)</f>
        <v>46204</v>
      </c>
      <c r="C304" s="3" t="s">
        <v>65</v>
      </c>
      <c r="D304" s="3" t="s">
        <v>66</v>
      </c>
      <c r="E304" s="3" t="s">
        <v>29</v>
      </c>
      <c r="F304" s="3" t="n">
        <v>12</v>
      </c>
      <c r="G304" s="36" t="n">
        <v>1.5</v>
      </c>
      <c r="H304" s="36" t="n">
        <f aca="false">F304*G304</f>
        <v>18</v>
      </c>
      <c r="I304" s="36" t="n">
        <f aca="false">INDEX(Inventory!$D$2:$D$17,MATCH(C304,Inventory!$A$2:$A$17,0))</f>
        <v>0.9</v>
      </c>
      <c r="J304" s="36" t="n">
        <f aca="false">F304*I304</f>
        <v>10.8</v>
      </c>
      <c r="K304" s="36" t="n">
        <f aca="false">H304-J304</f>
        <v>7.2</v>
      </c>
    </row>
    <row r="305" customFormat="false" ht="15" hidden="false" customHeight="false" outlineLevel="0" collapsed="false">
      <c r="A305" s="41" t="n">
        <v>46222</v>
      </c>
      <c r="B305" s="42" t="n">
        <f aca="false">DATE(YEAR(A305),MONTH(A305),1)</f>
        <v>46204</v>
      </c>
      <c r="C305" s="3" t="s">
        <v>55</v>
      </c>
      <c r="D305" s="3" t="s">
        <v>56</v>
      </c>
      <c r="E305" s="3" t="s">
        <v>29</v>
      </c>
      <c r="F305" s="3" t="n">
        <v>7</v>
      </c>
      <c r="G305" s="36" t="n">
        <v>2.5</v>
      </c>
      <c r="H305" s="36" t="n">
        <f aca="false">F305*G305</f>
        <v>17.5</v>
      </c>
      <c r="I305" s="36" t="n">
        <f aca="false">INDEX(Inventory!$D$2:$D$17,MATCH(C305,Inventory!$A$2:$A$17,0))</f>
        <v>1.6</v>
      </c>
      <c r="J305" s="36" t="n">
        <f aca="false">F305*I305</f>
        <v>11.2</v>
      </c>
      <c r="K305" s="36" t="n">
        <f aca="false">H305-J305</f>
        <v>6.3</v>
      </c>
    </row>
    <row r="306" customFormat="false" ht="15" hidden="false" customHeight="false" outlineLevel="0" collapsed="false">
      <c r="A306" s="41" t="n">
        <v>46223</v>
      </c>
      <c r="B306" s="42" t="n">
        <f aca="false">DATE(YEAR(A306),MONTH(A306),1)</f>
        <v>46204</v>
      </c>
      <c r="C306" s="3" t="s">
        <v>39</v>
      </c>
      <c r="D306" s="3" t="s">
        <v>40</v>
      </c>
      <c r="E306" s="3" t="s">
        <v>27</v>
      </c>
      <c r="F306" s="3" t="n">
        <v>28</v>
      </c>
      <c r="G306" s="36" t="n">
        <v>1</v>
      </c>
      <c r="H306" s="36" t="n">
        <f aca="false">F306*G306</f>
        <v>28</v>
      </c>
      <c r="I306" s="36" t="n">
        <f aca="false">INDEX(Inventory!$D$2:$D$17,MATCH(C306,Inventory!$A$2:$A$17,0))</f>
        <v>0.6</v>
      </c>
      <c r="J306" s="36" t="n">
        <f aca="false">F306*I306</f>
        <v>16.8</v>
      </c>
      <c r="K306" s="36" t="n">
        <f aca="false">H306-J306</f>
        <v>11.2</v>
      </c>
    </row>
    <row r="307" customFormat="false" ht="15" hidden="false" customHeight="false" outlineLevel="0" collapsed="false">
      <c r="A307" s="41" t="n">
        <v>46223</v>
      </c>
      <c r="B307" s="42" t="n">
        <f aca="false">DATE(YEAR(A307),MONTH(A307),1)</f>
        <v>46204</v>
      </c>
      <c r="C307" s="3" t="s">
        <v>53</v>
      </c>
      <c r="D307" s="3" t="s">
        <v>54</v>
      </c>
      <c r="E307" s="3" t="s">
        <v>27</v>
      </c>
      <c r="F307" s="3" t="n">
        <v>20</v>
      </c>
      <c r="G307" s="36" t="n">
        <v>0.95</v>
      </c>
      <c r="H307" s="36" t="n">
        <f aca="false">F307*G307</f>
        <v>19</v>
      </c>
      <c r="I307" s="36" t="n">
        <f aca="false">INDEX(Inventory!$D$2:$D$17,MATCH(C307,Inventory!$A$2:$A$17,0))</f>
        <v>0.55</v>
      </c>
      <c r="J307" s="36" t="n">
        <f aca="false">F307*I307</f>
        <v>11</v>
      </c>
      <c r="K307" s="36" t="n">
        <f aca="false">H307-J307</f>
        <v>8</v>
      </c>
    </row>
    <row r="308" customFormat="false" ht="15" hidden="false" customHeight="false" outlineLevel="0" collapsed="false">
      <c r="A308" s="41" t="n">
        <v>46223</v>
      </c>
      <c r="B308" s="42" t="n">
        <f aca="false">DATE(YEAR(A308),MONTH(A308),1)</f>
        <v>46204</v>
      </c>
      <c r="C308" s="3" t="s">
        <v>59</v>
      </c>
      <c r="D308" s="3" t="s">
        <v>60</v>
      </c>
      <c r="E308" s="3" t="s">
        <v>27</v>
      </c>
      <c r="F308" s="3" t="n">
        <v>24</v>
      </c>
      <c r="G308" s="36" t="n">
        <v>0.6</v>
      </c>
      <c r="H308" s="36" t="n">
        <f aca="false">F308*G308</f>
        <v>14.4</v>
      </c>
      <c r="I308" s="36" t="n">
        <f aca="false">INDEX(Inventory!$D$2:$D$17,MATCH(C308,Inventory!$A$2:$A$17,0))</f>
        <v>0.3</v>
      </c>
      <c r="J308" s="36" t="n">
        <f aca="false">F308*I308</f>
        <v>7.2</v>
      </c>
      <c r="K308" s="36" t="n">
        <f aca="false">H308-J308</f>
        <v>7.2</v>
      </c>
    </row>
    <row r="309" customFormat="false" ht="15" hidden="false" customHeight="false" outlineLevel="0" collapsed="false">
      <c r="A309" s="41" t="n">
        <v>46223</v>
      </c>
      <c r="B309" s="42" t="n">
        <f aca="false">DATE(YEAR(A309),MONTH(A309),1)</f>
        <v>46204</v>
      </c>
      <c r="C309" s="3" t="s">
        <v>57</v>
      </c>
      <c r="D309" s="3" t="s">
        <v>58</v>
      </c>
      <c r="E309" s="3" t="s">
        <v>27</v>
      </c>
      <c r="F309" s="3" t="n">
        <v>18</v>
      </c>
      <c r="G309" s="36" t="n">
        <v>1.5</v>
      </c>
      <c r="H309" s="36" t="n">
        <f aca="false">F309*G309</f>
        <v>27</v>
      </c>
      <c r="I309" s="36" t="n">
        <f aca="false">INDEX(Inventory!$D$2:$D$17,MATCH(C309,Inventory!$A$2:$A$17,0))</f>
        <v>0.9</v>
      </c>
      <c r="J309" s="36" t="n">
        <f aca="false">F309*I309</f>
        <v>16.2</v>
      </c>
      <c r="K309" s="36" t="n">
        <f aca="false">H309-J309</f>
        <v>10.8</v>
      </c>
    </row>
    <row r="310" customFormat="false" ht="15" hidden="false" customHeight="false" outlineLevel="0" collapsed="false">
      <c r="A310" s="41" t="n">
        <v>46223</v>
      </c>
      <c r="B310" s="42" t="n">
        <f aca="false">DATE(YEAR(A310),MONTH(A310),1)</f>
        <v>46204</v>
      </c>
      <c r="C310" s="3" t="s">
        <v>41</v>
      </c>
      <c r="D310" s="3" t="s">
        <v>42</v>
      </c>
      <c r="E310" s="3" t="s">
        <v>28</v>
      </c>
      <c r="F310" s="3" t="n">
        <v>23</v>
      </c>
      <c r="G310" s="36" t="n">
        <v>1.3</v>
      </c>
      <c r="H310" s="36" t="n">
        <f aca="false">F310*G310</f>
        <v>29.9</v>
      </c>
      <c r="I310" s="36" t="n">
        <f aca="false">INDEX(Inventory!$D$2:$D$17,MATCH(C310,Inventory!$A$2:$A$17,0))</f>
        <v>0.8</v>
      </c>
      <c r="J310" s="36" t="n">
        <f aca="false">F310*I310</f>
        <v>18.4</v>
      </c>
      <c r="K310" s="36" t="n">
        <f aca="false">H310-J310</f>
        <v>11.5</v>
      </c>
    </row>
    <row r="311" customFormat="false" ht="15" hidden="false" customHeight="false" outlineLevel="0" collapsed="false">
      <c r="A311" s="41" t="n">
        <v>46223</v>
      </c>
      <c r="B311" s="42" t="n">
        <f aca="false">DATE(YEAR(A311),MONTH(A311),1)</f>
        <v>46204</v>
      </c>
      <c r="C311" s="3" t="s">
        <v>63</v>
      </c>
      <c r="D311" s="3" t="s">
        <v>64</v>
      </c>
      <c r="E311" s="3" t="s">
        <v>28</v>
      </c>
      <c r="F311" s="3" t="n">
        <v>7</v>
      </c>
      <c r="G311" s="36" t="n">
        <v>0.9</v>
      </c>
      <c r="H311" s="36" t="n">
        <f aca="false">F311*G311</f>
        <v>6.3</v>
      </c>
      <c r="I311" s="36" t="n">
        <f aca="false">INDEX(Inventory!$D$2:$D$17,MATCH(C311,Inventory!$A$2:$A$17,0))</f>
        <v>0.5</v>
      </c>
      <c r="J311" s="36" t="n">
        <f aca="false">F311*I311</f>
        <v>3.5</v>
      </c>
      <c r="K311" s="36" t="n">
        <f aca="false">H311-J311</f>
        <v>2.8</v>
      </c>
    </row>
    <row r="312" customFormat="false" ht="15" hidden="false" customHeight="false" outlineLevel="0" collapsed="false">
      <c r="A312" s="41" t="n">
        <v>46223</v>
      </c>
      <c r="B312" s="42" t="n">
        <f aca="false">DATE(YEAR(A312),MONTH(A312),1)</f>
        <v>46204</v>
      </c>
      <c r="C312" s="3" t="s">
        <v>49</v>
      </c>
      <c r="D312" s="3" t="s">
        <v>50</v>
      </c>
      <c r="E312" s="3" t="s">
        <v>28</v>
      </c>
      <c r="F312" s="3" t="n">
        <v>18</v>
      </c>
      <c r="G312" s="36" t="n">
        <v>1.2</v>
      </c>
      <c r="H312" s="36" t="n">
        <f aca="false">F312*G312</f>
        <v>21.6</v>
      </c>
      <c r="I312" s="36" t="n">
        <f aca="false">INDEX(Inventory!$D$2:$D$17,MATCH(C312,Inventory!$A$2:$A$17,0))</f>
        <v>0.7</v>
      </c>
      <c r="J312" s="36" t="n">
        <f aca="false">F312*I312</f>
        <v>12.6</v>
      </c>
      <c r="K312" s="36" t="n">
        <f aca="false">H312-J312</f>
        <v>9</v>
      </c>
    </row>
    <row r="313" customFormat="false" ht="15" hidden="false" customHeight="false" outlineLevel="0" collapsed="false">
      <c r="A313" s="41" t="n">
        <v>46223</v>
      </c>
      <c r="B313" s="42" t="n">
        <f aca="false">DATE(YEAR(A313),MONTH(A313),1)</f>
        <v>46204</v>
      </c>
      <c r="C313" s="3" t="s">
        <v>51</v>
      </c>
      <c r="D313" s="3" t="s">
        <v>52</v>
      </c>
      <c r="E313" s="3" t="s">
        <v>28</v>
      </c>
      <c r="F313" s="3" t="n">
        <v>20</v>
      </c>
      <c r="G313" s="36" t="n">
        <v>0.85</v>
      </c>
      <c r="H313" s="36" t="n">
        <f aca="false">F313*G313</f>
        <v>17</v>
      </c>
      <c r="I313" s="36" t="n">
        <f aca="false">INDEX(Inventory!$D$2:$D$17,MATCH(C313,Inventory!$A$2:$A$17,0))</f>
        <v>0.45</v>
      </c>
      <c r="J313" s="36" t="n">
        <f aca="false">F313*I313</f>
        <v>9</v>
      </c>
      <c r="K313" s="36" t="n">
        <f aca="false">H313-J313</f>
        <v>8</v>
      </c>
    </row>
    <row r="314" customFormat="false" ht="15" hidden="false" customHeight="false" outlineLevel="0" collapsed="false">
      <c r="A314" s="41" t="n">
        <v>46223</v>
      </c>
      <c r="B314" s="42" t="n">
        <f aca="false">DATE(YEAR(A314),MONTH(A314),1)</f>
        <v>46204</v>
      </c>
      <c r="C314" s="3" t="s">
        <v>37</v>
      </c>
      <c r="D314" s="3" t="s">
        <v>38</v>
      </c>
      <c r="E314" s="3" t="s">
        <v>26</v>
      </c>
      <c r="F314" s="3" t="n">
        <v>24</v>
      </c>
      <c r="G314" s="36" t="n">
        <v>1.2</v>
      </c>
      <c r="H314" s="36" t="n">
        <f aca="false">F314*G314</f>
        <v>28.8</v>
      </c>
      <c r="I314" s="36" t="n">
        <f aca="false">INDEX(Inventory!$D$2:$D$17,MATCH(C314,Inventory!$A$2:$A$17,0))</f>
        <v>0.85</v>
      </c>
      <c r="J314" s="36" t="n">
        <f aca="false">F314*I314</f>
        <v>20.4</v>
      </c>
      <c r="K314" s="36" t="n">
        <f aca="false">H314-J314</f>
        <v>8.4</v>
      </c>
    </row>
    <row r="315" customFormat="false" ht="15" hidden="false" customHeight="false" outlineLevel="0" collapsed="false">
      <c r="A315" s="41" t="n">
        <v>46223</v>
      </c>
      <c r="B315" s="42" t="n">
        <f aca="false">DATE(YEAR(A315),MONTH(A315),1)</f>
        <v>46204</v>
      </c>
      <c r="C315" s="3" t="s">
        <v>47</v>
      </c>
      <c r="D315" s="3" t="s">
        <v>48</v>
      </c>
      <c r="E315" s="3" t="s">
        <v>26</v>
      </c>
      <c r="F315" s="3" t="n">
        <v>11</v>
      </c>
      <c r="G315" s="36" t="n">
        <v>2.2</v>
      </c>
      <c r="H315" s="36" t="n">
        <f aca="false">F315*G315</f>
        <v>24.2</v>
      </c>
      <c r="I315" s="36" t="n">
        <f aca="false">INDEX(Inventory!$D$2:$D$17,MATCH(C315,Inventory!$A$2:$A$17,0))</f>
        <v>1.4</v>
      </c>
      <c r="J315" s="36" t="n">
        <f aca="false">F315*I315</f>
        <v>15.4</v>
      </c>
      <c r="K315" s="36" t="n">
        <f aca="false">H315-J315</f>
        <v>8.8</v>
      </c>
    </row>
    <row r="316" customFormat="false" ht="15" hidden="false" customHeight="false" outlineLevel="0" collapsed="false">
      <c r="A316" s="41" t="n">
        <v>46223</v>
      </c>
      <c r="B316" s="42" t="n">
        <f aca="false">DATE(YEAR(A316),MONTH(A316),1)</f>
        <v>46204</v>
      </c>
      <c r="C316" s="3" t="s">
        <v>43</v>
      </c>
      <c r="D316" s="3" t="s">
        <v>44</v>
      </c>
      <c r="E316" s="3" t="s">
        <v>26</v>
      </c>
      <c r="F316" s="3" t="n">
        <v>8</v>
      </c>
      <c r="G316" s="36" t="n">
        <v>3.8</v>
      </c>
      <c r="H316" s="36" t="n">
        <f aca="false">F316*G316</f>
        <v>30.4</v>
      </c>
      <c r="I316" s="36" t="n">
        <f aca="false">INDEX(Inventory!$D$2:$D$17,MATCH(C316,Inventory!$A$2:$A$17,0))</f>
        <v>2.6</v>
      </c>
      <c r="J316" s="36" t="n">
        <f aca="false">F316*I316</f>
        <v>20.8</v>
      </c>
      <c r="K316" s="36" t="n">
        <f aca="false">H316-J316</f>
        <v>9.6</v>
      </c>
    </row>
    <row r="317" customFormat="false" ht="15" hidden="false" customHeight="false" outlineLevel="0" collapsed="false">
      <c r="A317" s="41" t="n">
        <v>46223</v>
      </c>
      <c r="B317" s="42" t="n">
        <f aca="false">DATE(YEAR(A317),MONTH(A317),1)</f>
        <v>46204</v>
      </c>
      <c r="C317" s="3" t="s">
        <v>67</v>
      </c>
      <c r="D317" s="3" t="s">
        <v>68</v>
      </c>
      <c r="E317" s="3" t="s">
        <v>26</v>
      </c>
      <c r="F317" s="3" t="n">
        <v>3</v>
      </c>
      <c r="G317" s="36" t="n">
        <v>1.9</v>
      </c>
      <c r="H317" s="36" t="n">
        <f aca="false">F317*G317</f>
        <v>5.7</v>
      </c>
      <c r="I317" s="36" t="n">
        <f aca="false">INDEX(Inventory!$D$2:$D$17,MATCH(C317,Inventory!$A$2:$A$17,0))</f>
        <v>1.3</v>
      </c>
      <c r="J317" s="36" t="n">
        <f aca="false">F317*I317</f>
        <v>3.9</v>
      </c>
      <c r="K317" s="36" t="n">
        <f aca="false">H317-J317</f>
        <v>1.8</v>
      </c>
    </row>
    <row r="318" customFormat="false" ht="15" hidden="false" customHeight="false" outlineLevel="0" collapsed="false">
      <c r="A318" s="41" t="n">
        <v>46223</v>
      </c>
      <c r="B318" s="42" t="n">
        <f aca="false">DATE(YEAR(A318),MONTH(A318),1)</f>
        <v>46204</v>
      </c>
      <c r="C318" s="3" t="s">
        <v>61</v>
      </c>
      <c r="D318" s="3" t="s">
        <v>62</v>
      </c>
      <c r="E318" s="3" t="s">
        <v>29</v>
      </c>
      <c r="F318" s="3" t="n">
        <v>6</v>
      </c>
      <c r="G318" s="36" t="n">
        <v>1.9</v>
      </c>
      <c r="H318" s="36" t="n">
        <f aca="false">F318*G318</f>
        <v>11.4</v>
      </c>
      <c r="I318" s="36" t="n">
        <f aca="false">INDEX(Inventory!$D$2:$D$17,MATCH(C318,Inventory!$A$2:$A$17,0))</f>
        <v>1.1</v>
      </c>
      <c r="J318" s="36" t="n">
        <f aca="false">F318*I318</f>
        <v>6.6</v>
      </c>
      <c r="K318" s="36" t="n">
        <f aca="false">H318-J318</f>
        <v>4.8</v>
      </c>
    </row>
    <row r="319" customFormat="false" ht="15" hidden="false" customHeight="false" outlineLevel="0" collapsed="false">
      <c r="A319" s="41" t="n">
        <v>46223</v>
      </c>
      <c r="B319" s="42" t="n">
        <f aca="false">DATE(YEAR(A319),MONTH(A319),1)</f>
        <v>46204</v>
      </c>
      <c r="C319" s="3" t="s">
        <v>45</v>
      </c>
      <c r="D319" s="3" t="s">
        <v>46</v>
      </c>
      <c r="E319" s="3" t="s">
        <v>29</v>
      </c>
      <c r="F319" s="3" t="n">
        <v>6</v>
      </c>
      <c r="G319" s="36" t="n">
        <v>5.2</v>
      </c>
      <c r="H319" s="36" t="n">
        <f aca="false">F319*G319</f>
        <v>31.2</v>
      </c>
      <c r="I319" s="36" t="n">
        <f aca="false">INDEX(Inventory!$D$2:$D$17,MATCH(C319,Inventory!$A$2:$A$17,0))</f>
        <v>3.5</v>
      </c>
      <c r="J319" s="36" t="n">
        <f aca="false">F319*I319</f>
        <v>21</v>
      </c>
      <c r="K319" s="36" t="n">
        <f aca="false">H319-J319</f>
        <v>10.2</v>
      </c>
    </row>
    <row r="320" customFormat="false" ht="15" hidden="false" customHeight="false" outlineLevel="0" collapsed="false">
      <c r="A320" s="41" t="n">
        <v>46223</v>
      </c>
      <c r="B320" s="42" t="n">
        <f aca="false">DATE(YEAR(A320),MONTH(A320),1)</f>
        <v>46204</v>
      </c>
      <c r="C320" s="3" t="s">
        <v>65</v>
      </c>
      <c r="D320" s="3" t="s">
        <v>66</v>
      </c>
      <c r="E320" s="3" t="s">
        <v>29</v>
      </c>
      <c r="F320" s="3" t="n">
        <v>11</v>
      </c>
      <c r="G320" s="36" t="n">
        <v>1.5</v>
      </c>
      <c r="H320" s="36" t="n">
        <f aca="false">F320*G320</f>
        <v>16.5</v>
      </c>
      <c r="I320" s="36" t="n">
        <f aca="false">INDEX(Inventory!$D$2:$D$17,MATCH(C320,Inventory!$A$2:$A$17,0))</f>
        <v>0.9</v>
      </c>
      <c r="J320" s="36" t="n">
        <f aca="false">F320*I320</f>
        <v>9.9</v>
      </c>
      <c r="K320" s="36" t="n">
        <f aca="false">H320-J320</f>
        <v>6.6</v>
      </c>
    </row>
    <row r="321" customFormat="false" ht="15" hidden="false" customHeight="false" outlineLevel="0" collapsed="false">
      <c r="A321" s="41" t="n">
        <v>46223</v>
      </c>
      <c r="B321" s="42" t="n">
        <f aca="false">DATE(YEAR(A321),MONTH(A321),1)</f>
        <v>46204</v>
      </c>
      <c r="C321" s="3" t="s">
        <v>55</v>
      </c>
      <c r="D321" s="3" t="s">
        <v>56</v>
      </c>
      <c r="E321" s="3" t="s">
        <v>29</v>
      </c>
      <c r="F321" s="3" t="n">
        <v>10</v>
      </c>
      <c r="G321" s="36" t="n">
        <v>2.5</v>
      </c>
      <c r="H321" s="36" t="n">
        <f aca="false">F321*G321</f>
        <v>25</v>
      </c>
      <c r="I321" s="36" t="n">
        <f aca="false">INDEX(Inventory!$D$2:$D$17,MATCH(C321,Inventory!$A$2:$A$17,0))</f>
        <v>1.6</v>
      </c>
      <c r="J321" s="36" t="n">
        <f aca="false">F321*I321</f>
        <v>16</v>
      </c>
      <c r="K321" s="36" t="n">
        <f aca="false">H321-J321</f>
        <v>9</v>
      </c>
    </row>
    <row r="322" customFormat="false" ht="15" hidden="false" customHeight="false" outlineLevel="0" collapsed="false">
      <c r="A322" s="41" t="n">
        <v>46224</v>
      </c>
      <c r="B322" s="42" t="n">
        <f aca="false">DATE(YEAR(A322),MONTH(A322),1)</f>
        <v>46204</v>
      </c>
      <c r="C322" s="3" t="s">
        <v>39</v>
      </c>
      <c r="D322" s="3" t="s">
        <v>40</v>
      </c>
      <c r="E322" s="3" t="s">
        <v>27</v>
      </c>
      <c r="F322" s="3" t="n">
        <v>38</v>
      </c>
      <c r="G322" s="36" t="n">
        <v>1</v>
      </c>
      <c r="H322" s="36" t="n">
        <f aca="false">F322*G322</f>
        <v>38</v>
      </c>
      <c r="I322" s="36" t="n">
        <f aca="false">INDEX(Inventory!$D$2:$D$17,MATCH(C322,Inventory!$A$2:$A$17,0))</f>
        <v>0.6</v>
      </c>
      <c r="J322" s="36" t="n">
        <f aca="false">F322*I322</f>
        <v>22.8</v>
      </c>
      <c r="K322" s="36" t="n">
        <f aca="false">H322-J322</f>
        <v>15.2</v>
      </c>
    </row>
    <row r="323" customFormat="false" ht="15" hidden="false" customHeight="false" outlineLevel="0" collapsed="false">
      <c r="A323" s="41" t="n">
        <v>46224</v>
      </c>
      <c r="B323" s="42" t="n">
        <f aca="false">DATE(YEAR(A323),MONTH(A323),1)</f>
        <v>46204</v>
      </c>
      <c r="C323" s="3" t="s">
        <v>53</v>
      </c>
      <c r="D323" s="3" t="s">
        <v>54</v>
      </c>
      <c r="E323" s="3" t="s">
        <v>27</v>
      </c>
      <c r="F323" s="3" t="n">
        <v>9</v>
      </c>
      <c r="G323" s="36" t="n">
        <v>0.95</v>
      </c>
      <c r="H323" s="36" t="n">
        <f aca="false">F323*G323</f>
        <v>8.55</v>
      </c>
      <c r="I323" s="36" t="n">
        <f aca="false">INDEX(Inventory!$D$2:$D$17,MATCH(C323,Inventory!$A$2:$A$17,0))</f>
        <v>0.55</v>
      </c>
      <c r="J323" s="36" t="n">
        <f aca="false">F323*I323</f>
        <v>4.95</v>
      </c>
      <c r="K323" s="36" t="n">
        <f aca="false">H323-J323</f>
        <v>3.6</v>
      </c>
    </row>
    <row r="324" customFormat="false" ht="15" hidden="false" customHeight="false" outlineLevel="0" collapsed="false">
      <c r="A324" s="41" t="n">
        <v>46224</v>
      </c>
      <c r="B324" s="42" t="n">
        <f aca="false">DATE(YEAR(A324),MONTH(A324),1)</f>
        <v>46204</v>
      </c>
      <c r="C324" s="3" t="s">
        <v>59</v>
      </c>
      <c r="D324" s="3" t="s">
        <v>60</v>
      </c>
      <c r="E324" s="3" t="s">
        <v>27</v>
      </c>
      <c r="F324" s="3" t="n">
        <v>36</v>
      </c>
      <c r="G324" s="36" t="n">
        <v>0.6</v>
      </c>
      <c r="H324" s="36" t="n">
        <f aca="false">F324*G324</f>
        <v>21.6</v>
      </c>
      <c r="I324" s="36" t="n">
        <f aca="false">INDEX(Inventory!$D$2:$D$17,MATCH(C324,Inventory!$A$2:$A$17,0))</f>
        <v>0.3</v>
      </c>
      <c r="J324" s="36" t="n">
        <f aca="false">F324*I324</f>
        <v>10.8</v>
      </c>
      <c r="K324" s="36" t="n">
        <f aca="false">H324-J324</f>
        <v>10.8</v>
      </c>
    </row>
    <row r="325" customFormat="false" ht="15" hidden="false" customHeight="false" outlineLevel="0" collapsed="false">
      <c r="A325" s="41" t="n">
        <v>46224</v>
      </c>
      <c r="B325" s="42" t="n">
        <f aca="false">DATE(YEAR(A325),MONTH(A325),1)</f>
        <v>46204</v>
      </c>
      <c r="C325" s="3" t="s">
        <v>57</v>
      </c>
      <c r="D325" s="3" t="s">
        <v>58</v>
      </c>
      <c r="E325" s="3" t="s">
        <v>27</v>
      </c>
      <c r="F325" s="3" t="n">
        <v>6</v>
      </c>
      <c r="G325" s="36" t="n">
        <v>1.5</v>
      </c>
      <c r="H325" s="36" t="n">
        <f aca="false">F325*G325</f>
        <v>9</v>
      </c>
      <c r="I325" s="36" t="n">
        <f aca="false">INDEX(Inventory!$D$2:$D$17,MATCH(C325,Inventory!$A$2:$A$17,0))</f>
        <v>0.9</v>
      </c>
      <c r="J325" s="36" t="n">
        <f aca="false">F325*I325</f>
        <v>5.4</v>
      </c>
      <c r="K325" s="36" t="n">
        <f aca="false">H325-J325</f>
        <v>3.6</v>
      </c>
    </row>
    <row r="326" customFormat="false" ht="15" hidden="false" customHeight="false" outlineLevel="0" collapsed="false">
      <c r="A326" s="41" t="n">
        <v>46224</v>
      </c>
      <c r="B326" s="42" t="n">
        <f aca="false">DATE(YEAR(A326),MONTH(A326),1)</f>
        <v>46204</v>
      </c>
      <c r="C326" s="3" t="s">
        <v>41</v>
      </c>
      <c r="D326" s="3" t="s">
        <v>42</v>
      </c>
      <c r="E326" s="3" t="s">
        <v>28</v>
      </c>
      <c r="F326" s="3" t="n">
        <v>28</v>
      </c>
      <c r="G326" s="36" t="n">
        <v>1.3</v>
      </c>
      <c r="H326" s="36" t="n">
        <f aca="false">F326*G326</f>
        <v>36.4</v>
      </c>
      <c r="I326" s="36" t="n">
        <f aca="false">INDEX(Inventory!$D$2:$D$17,MATCH(C326,Inventory!$A$2:$A$17,0))</f>
        <v>0.8</v>
      </c>
      <c r="J326" s="36" t="n">
        <f aca="false">F326*I326</f>
        <v>22.4</v>
      </c>
      <c r="K326" s="36" t="n">
        <f aca="false">H326-J326</f>
        <v>14</v>
      </c>
    </row>
    <row r="327" customFormat="false" ht="15" hidden="false" customHeight="false" outlineLevel="0" collapsed="false">
      <c r="A327" s="41" t="n">
        <v>46224</v>
      </c>
      <c r="B327" s="42" t="n">
        <f aca="false">DATE(YEAR(A327),MONTH(A327),1)</f>
        <v>46204</v>
      </c>
      <c r="C327" s="3" t="s">
        <v>63</v>
      </c>
      <c r="D327" s="3" t="s">
        <v>64</v>
      </c>
      <c r="E327" s="3" t="s">
        <v>28</v>
      </c>
      <c r="F327" s="3" t="n">
        <v>15</v>
      </c>
      <c r="G327" s="36" t="n">
        <v>0.9</v>
      </c>
      <c r="H327" s="36" t="n">
        <f aca="false">F327*G327</f>
        <v>13.5</v>
      </c>
      <c r="I327" s="36" t="n">
        <f aca="false">INDEX(Inventory!$D$2:$D$17,MATCH(C327,Inventory!$A$2:$A$17,0))</f>
        <v>0.5</v>
      </c>
      <c r="J327" s="36" t="n">
        <f aca="false">F327*I327</f>
        <v>7.5</v>
      </c>
      <c r="K327" s="36" t="n">
        <f aca="false">H327-J327</f>
        <v>6</v>
      </c>
    </row>
    <row r="328" customFormat="false" ht="15" hidden="false" customHeight="false" outlineLevel="0" collapsed="false">
      <c r="A328" s="41" t="n">
        <v>46224</v>
      </c>
      <c r="B328" s="42" t="n">
        <f aca="false">DATE(YEAR(A328),MONTH(A328),1)</f>
        <v>46204</v>
      </c>
      <c r="C328" s="3" t="s">
        <v>49</v>
      </c>
      <c r="D328" s="3" t="s">
        <v>50</v>
      </c>
      <c r="E328" s="3" t="s">
        <v>28</v>
      </c>
      <c r="F328" s="3" t="n">
        <v>11</v>
      </c>
      <c r="G328" s="36" t="n">
        <v>1.2</v>
      </c>
      <c r="H328" s="36" t="n">
        <f aca="false">F328*G328</f>
        <v>13.2</v>
      </c>
      <c r="I328" s="36" t="n">
        <f aca="false">INDEX(Inventory!$D$2:$D$17,MATCH(C328,Inventory!$A$2:$A$17,0))</f>
        <v>0.7</v>
      </c>
      <c r="J328" s="36" t="n">
        <f aca="false">F328*I328</f>
        <v>7.7</v>
      </c>
      <c r="K328" s="36" t="n">
        <f aca="false">H328-J328</f>
        <v>5.5</v>
      </c>
    </row>
    <row r="329" customFormat="false" ht="15" hidden="false" customHeight="false" outlineLevel="0" collapsed="false">
      <c r="A329" s="41" t="n">
        <v>46224</v>
      </c>
      <c r="B329" s="42" t="n">
        <f aca="false">DATE(YEAR(A329),MONTH(A329),1)</f>
        <v>46204</v>
      </c>
      <c r="C329" s="3" t="s">
        <v>51</v>
      </c>
      <c r="D329" s="3" t="s">
        <v>52</v>
      </c>
      <c r="E329" s="3" t="s">
        <v>28</v>
      </c>
      <c r="F329" s="3" t="n">
        <v>33</v>
      </c>
      <c r="G329" s="36" t="n">
        <v>0.85</v>
      </c>
      <c r="H329" s="36" t="n">
        <f aca="false">F329*G329</f>
        <v>28.05</v>
      </c>
      <c r="I329" s="36" t="n">
        <f aca="false">INDEX(Inventory!$D$2:$D$17,MATCH(C329,Inventory!$A$2:$A$17,0))</f>
        <v>0.45</v>
      </c>
      <c r="J329" s="36" t="n">
        <f aca="false">F329*I329</f>
        <v>14.85</v>
      </c>
      <c r="K329" s="36" t="n">
        <f aca="false">H329-J329</f>
        <v>13.2</v>
      </c>
    </row>
    <row r="330" customFormat="false" ht="15" hidden="false" customHeight="false" outlineLevel="0" collapsed="false">
      <c r="A330" s="41" t="n">
        <v>46224</v>
      </c>
      <c r="B330" s="42" t="n">
        <f aca="false">DATE(YEAR(A330),MONTH(A330),1)</f>
        <v>46204</v>
      </c>
      <c r="C330" s="3" t="s">
        <v>37</v>
      </c>
      <c r="D330" s="3" t="s">
        <v>38</v>
      </c>
      <c r="E330" s="3" t="s">
        <v>26</v>
      </c>
      <c r="F330" s="3" t="n">
        <v>28</v>
      </c>
      <c r="G330" s="36" t="n">
        <v>1.2</v>
      </c>
      <c r="H330" s="36" t="n">
        <f aca="false">F330*G330</f>
        <v>33.6</v>
      </c>
      <c r="I330" s="36" t="n">
        <f aca="false">INDEX(Inventory!$D$2:$D$17,MATCH(C330,Inventory!$A$2:$A$17,0))</f>
        <v>0.85</v>
      </c>
      <c r="J330" s="36" t="n">
        <f aca="false">F330*I330</f>
        <v>23.8</v>
      </c>
      <c r="K330" s="36" t="n">
        <f aca="false">H330-J330</f>
        <v>9.8</v>
      </c>
    </row>
    <row r="331" customFormat="false" ht="15" hidden="false" customHeight="false" outlineLevel="0" collapsed="false">
      <c r="A331" s="41" t="n">
        <v>46224</v>
      </c>
      <c r="B331" s="42" t="n">
        <f aca="false">DATE(YEAR(A331),MONTH(A331),1)</f>
        <v>46204</v>
      </c>
      <c r="C331" s="3" t="s">
        <v>47</v>
      </c>
      <c r="D331" s="3" t="s">
        <v>48</v>
      </c>
      <c r="E331" s="3" t="s">
        <v>26</v>
      </c>
      <c r="F331" s="3" t="n">
        <v>5</v>
      </c>
      <c r="G331" s="36" t="n">
        <v>2.2</v>
      </c>
      <c r="H331" s="36" t="n">
        <f aca="false">F331*G331</f>
        <v>11</v>
      </c>
      <c r="I331" s="36" t="n">
        <f aca="false">INDEX(Inventory!$D$2:$D$17,MATCH(C331,Inventory!$A$2:$A$17,0))</f>
        <v>1.4</v>
      </c>
      <c r="J331" s="36" t="n">
        <f aca="false">F331*I331</f>
        <v>7</v>
      </c>
      <c r="K331" s="36" t="n">
        <f aca="false">H331-J331</f>
        <v>4</v>
      </c>
    </row>
    <row r="332" customFormat="false" ht="15" hidden="false" customHeight="false" outlineLevel="0" collapsed="false">
      <c r="A332" s="41" t="n">
        <v>46224</v>
      </c>
      <c r="B332" s="42" t="n">
        <f aca="false">DATE(YEAR(A332),MONTH(A332),1)</f>
        <v>46204</v>
      </c>
      <c r="C332" s="3" t="s">
        <v>43</v>
      </c>
      <c r="D332" s="3" t="s">
        <v>44</v>
      </c>
      <c r="E332" s="3" t="s">
        <v>26</v>
      </c>
      <c r="F332" s="3" t="n">
        <v>8</v>
      </c>
      <c r="G332" s="36" t="n">
        <v>3.8</v>
      </c>
      <c r="H332" s="36" t="n">
        <f aca="false">F332*G332</f>
        <v>30.4</v>
      </c>
      <c r="I332" s="36" t="n">
        <f aca="false">INDEX(Inventory!$D$2:$D$17,MATCH(C332,Inventory!$A$2:$A$17,0))</f>
        <v>2.6</v>
      </c>
      <c r="J332" s="36" t="n">
        <f aca="false">F332*I332</f>
        <v>20.8</v>
      </c>
      <c r="K332" s="36" t="n">
        <f aca="false">H332-J332</f>
        <v>9.6</v>
      </c>
    </row>
    <row r="333" customFormat="false" ht="15" hidden="false" customHeight="false" outlineLevel="0" collapsed="false">
      <c r="A333" s="41" t="n">
        <v>46224</v>
      </c>
      <c r="B333" s="42" t="n">
        <f aca="false">DATE(YEAR(A333),MONTH(A333),1)</f>
        <v>46204</v>
      </c>
      <c r="C333" s="3" t="s">
        <v>67</v>
      </c>
      <c r="D333" s="3" t="s">
        <v>68</v>
      </c>
      <c r="E333" s="3" t="s">
        <v>26</v>
      </c>
      <c r="F333" s="3" t="n">
        <v>5</v>
      </c>
      <c r="G333" s="36" t="n">
        <v>1.9</v>
      </c>
      <c r="H333" s="36" t="n">
        <f aca="false">F333*G333</f>
        <v>9.5</v>
      </c>
      <c r="I333" s="36" t="n">
        <f aca="false">INDEX(Inventory!$D$2:$D$17,MATCH(C333,Inventory!$A$2:$A$17,0))</f>
        <v>1.3</v>
      </c>
      <c r="J333" s="36" t="n">
        <f aca="false">F333*I333</f>
        <v>6.5</v>
      </c>
      <c r="K333" s="36" t="n">
        <f aca="false">H333-J333</f>
        <v>3</v>
      </c>
    </row>
    <row r="334" customFormat="false" ht="15" hidden="false" customHeight="false" outlineLevel="0" collapsed="false">
      <c r="A334" s="41" t="n">
        <v>46224</v>
      </c>
      <c r="B334" s="42" t="n">
        <f aca="false">DATE(YEAR(A334),MONTH(A334),1)</f>
        <v>46204</v>
      </c>
      <c r="C334" s="3" t="s">
        <v>61</v>
      </c>
      <c r="D334" s="3" t="s">
        <v>62</v>
      </c>
      <c r="E334" s="3" t="s">
        <v>29</v>
      </c>
      <c r="F334" s="3" t="n">
        <v>9</v>
      </c>
      <c r="G334" s="36" t="n">
        <v>1.9</v>
      </c>
      <c r="H334" s="36" t="n">
        <f aca="false">F334*G334</f>
        <v>17.1</v>
      </c>
      <c r="I334" s="36" t="n">
        <f aca="false">INDEX(Inventory!$D$2:$D$17,MATCH(C334,Inventory!$A$2:$A$17,0))</f>
        <v>1.1</v>
      </c>
      <c r="J334" s="36" t="n">
        <f aca="false">F334*I334</f>
        <v>9.9</v>
      </c>
      <c r="K334" s="36" t="n">
        <f aca="false">H334-J334</f>
        <v>7.2</v>
      </c>
    </row>
    <row r="335" customFormat="false" ht="15" hidden="false" customHeight="false" outlineLevel="0" collapsed="false">
      <c r="A335" s="41" t="n">
        <v>46224</v>
      </c>
      <c r="B335" s="42" t="n">
        <f aca="false">DATE(YEAR(A335),MONTH(A335),1)</f>
        <v>46204</v>
      </c>
      <c r="C335" s="3" t="s">
        <v>45</v>
      </c>
      <c r="D335" s="3" t="s">
        <v>46</v>
      </c>
      <c r="E335" s="3" t="s">
        <v>29</v>
      </c>
      <c r="F335" s="3" t="n">
        <v>4</v>
      </c>
      <c r="G335" s="36" t="n">
        <v>5.2</v>
      </c>
      <c r="H335" s="36" t="n">
        <f aca="false">F335*G335</f>
        <v>20.8</v>
      </c>
      <c r="I335" s="36" t="n">
        <f aca="false">INDEX(Inventory!$D$2:$D$17,MATCH(C335,Inventory!$A$2:$A$17,0))</f>
        <v>3.5</v>
      </c>
      <c r="J335" s="36" t="n">
        <f aca="false">F335*I335</f>
        <v>14</v>
      </c>
      <c r="K335" s="36" t="n">
        <f aca="false">H335-J335</f>
        <v>6.8</v>
      </c>
    </row>
    <row r="336" customFormat="false" ht="15" hidden="false" customHeight="false" outlineLevel="0" collapsed="false">
      <c r="A336" s="41" t="n">
        <v>46224</v>
      </c>
      <c r="B336" s="42" t="n">
        <f aca="false">DATE(YEAR(A336),MONTH(A336),1)</f>
        <v>46204</v>
      </c>
      <c r="C336" s="3" t="s">
        <v>65</v>
      </c>
      <c r="D336" s="3" t="s">
        <v>66</v>
      </c>
      <c r="E336" s="3" t="s">
        <v>29</v>
      </c>
      <c r="F336" s="3" t="n">
        <v>11</v>
      </c>
      <c r="G336" s="36" t="n">
        <v>1.5</v>
      </c>
      <c r="H336" s="36" t="n">
        <f aca="false">F336*G336</f>
        <v>16.5</v>
      </c>
      <c r="I336" s="36" t="n">
        <f aca="false">INDEX(Inventory!$D$2:$D$17,MATCH(C336,Inventory!$A$2:$A$17,0))</f>
        <v>0.9</v>
      </c>
      <c r="J336" s="36" t="n">
        <f aca="false">F336*I336</f>
        <v>9.9</v>
      </c>
      <c r="K336" s="36" t="n">
        <f aca="false">H336-J336</f>
        <v>6.6</v>
      </c>
    </row>
    <row r="337" customFormat="false" ht="15" hidden="false" customHeight="false" outlineLevel="0" collapsed="false">
      <c r="A337" s="41" t="n">
        <v>46224</v>
      </c>
      <c r="B337" s="42" t="n">
        <f aca="false">DATE(YEAR(A337),MONTH(A337),1)</f>
        <v>46204</v>
      </c>
      <c r="C337" s="3" t="s">
        <v>55</v>
      </c>
      <c r="D337" s="3" t="s">
        <v>56</v>
      </c>
      <c r="E337" s="3" t="s">
        <v>29</v>
      </c>
      <c r="F337" s="3" t="n">
        <v>5</v>
      </c>
      <c r="G337" s="36" t="n">
        <v>2.5</v>
      </c>
      <c r="H337" s="36" t="n">
        <f aca="false">F337*G337</f>
        <v>12.5</v>
      </c>
      <c r="I337" s="36" t="n">
        <f aca="false">INDEX(Inventory!$D$2:$D$17,MATCH(C337,Inventory!$A$2:$A$17,0))</f>
        <v>1.6</v>
      </c>
      <c r="J337" s="36" t="n">
        <f aca="false">F337*I337</f>
        <v>8</v>
      </c>
      <c r="K337" s="36" t="n">
        <f aca="false">H337-J337</f>
        <v>4.5</v>
      </c>
    </row>
    <row r="338" customFormat="false" ht="15" hidden="false" customHeight="false" outlineLevel="0" collapsed="false">
      <c r="A338" s="41" t="n">
        <v>46225</v>
      </c>
      <c r="B338" s="42" t="n">
        <f aca="false">DATE(YEAR(A338),MONTH(A338),1)</f>
        <v>46204</v>
      </c>
      <c r="C338" s="3" t="s">
        <v>39</v>
      </c>
      <c r="D338" s="3" t="s">
        <v>40</v>
      </c>
      <c r="E338" s="3" t="s">
        <v>27</v>
      </c>
      <c r="F338" s="3" t="n">
        <v>28</v>
      </c>
      <c r="G338" s="36" t="n">
        <v>1</v>
      </c>
      <c r="H338" s="36" t="n">
        <f aca="false">F338*G338</f>
        <v>28</v>
      </c>
      <c r="I338" s="36" t="n">
        <f aca="false">INDEX(Inventory!$D$2:$D$17,MATCH(C338,Inventory!$A$2:$A$17,0))</f>
        <v>0.6</v>
      </c>
      <c r="J338" s="36" t="n">
        <f aca="false">F338*I338</f>
        <v>16.8</v>
      </c>
      <c r="K338" s="36" t="n">
        <f aca="false">H338-J338</f>
        <v>11.2</v>
      </c>
    </row>
    <row r="339" customFormat="false" ht="15" hidden="false" customHeight="false" outlineLevel="0" collapsed="false">
      <c r="A339" s="41" t="n">
        <v>46225</v>
      </c>
      <c r="B339" s="42" t="n">
        <f aca="false">DATE(YEAR(A339),MONTH(A339),1)</f>
        <v>46204</v>
      </c>
      <c r="C339" s="3" t="s">
        <v>53</v>
      </c>
      <c r="D339" s="3" t="s">
        <v>54</v>
      </c>
      <c r="E339" s="3" t="s">
        <v>27</v>
      </c>
      <c r="F339" s="3" t="n">
        <v>26</v>
      </c>
      <c r="G339" s="36" t="n">
        <v>0.95</v>
      </c>
      <c r="H339" s="36" t="n">
        <f aca="false">F339*G339</f>
        <v>24.7</v>
      </c>
      <c r="I339" s="36" t="n">
        <f aca="false">INDEX(Inventory!$D$2:$D$17,MATCH(C339,Inventory!$A$2:$A$17,0))</f>
        <v>0.55</v>
      </c>
      <c r="J339" s="36" t="n">
        <f aca="false">F339*I339</f>
        <v>14.3</v>
      </c>
      <c r="K339" s="36" t="n">
        <f aca="false">H339-J339</f>
        <v>10.4</v>
      </c>
    </row>
    <row r="340" customFormat="false" ht="15" hidden="false" customHeight="false" outlineLevel="0" collapsed="false">
      <c r="A340" s="41" t="n">
        <v>46225</v>
      </c>
      <c r="B340" s="42" t="n">
        <f aca="false">DATE(YEAR(A340),MONTH(A340),1)</f>
        <v>46204</v>
      </c>
      <c r="C340" s="3" t="s">
        <v>59</v>
      </c>
      <c r="D340" s="3" t="s">
        <v>60</v>
      </c>
      <c r="E340" s="3" t="s">
        <v>27</v>
      </c>
      <c r="F340" s="3" t="n">
        <v>24</v>
      </c>
      <c r="G340" s="36" t="n">
        <v>0.6</v>
      </c>
      <c r="H340" s="36" t="n">
        <f aca="false">F340*G340</f>
        <v>14.4</v>
      </c>
      <c r="I340" s="36" t="n">
        <f aca="false">INDEX(Inventory!$D$2:$D$17,MATCH(C340,Inventory!$A$2:$A$17,0))</f>
        <v>0.3</v>
      </c>
      <c r="J340" s="36" t="n">
        <f aca="false">F340*I340</f>
        <v>7.2</v>
      </c>
      <c r="K340" s="36" t="n">
        <f aca="false">H340-J340</f>
        <v>7.2</v>
      </c>
    </row>
    <row r="341" customFormat="false" ht="15" hidden="false" customHeight="false" outlineLevel="0" collapsed="false">
      <c r="A341" s="41" t="n">
        <v>46225</v>
      </c>
      <c r="B341" s="42" t="n">
        <f aca="false">DATE(YEAR(A341),MONTH(A341),1)</f>
        <v>46204</v>
      </c>
      <c r="C341" s="3" t="s">
        <v>57</v>
      </c>
      <c r="D341" s="3" t="s">
        <v>58</v>
      </c>
      <c r="E341" s="3" t="s">
        <v>27</v>
      </c>
      <c r="F341" s="3" t="n">
        <v>13</v>
      </c>
      <c r="G341" s="36" t="n">
        <v>1.5</v>
      </c>
      <c r="H341" s="36" t="n">
        <f aca="false">F341*G341</f>
        <v>19.5</v>
      </c>
      <c r="I341" s="36" t="n">
        <f aca="false">INDEX(Inventory!$D$2:$D$17,MATCH(C341,Inventory!$A$2:$A$17,0))</f>
        <v>0.9</v>
      </c>
      <c r="J341" s="36" t="n">
        <f aca="false">F341*I341</f>
        <v>11.7</v>
      </c>
      <c r="K341" s="36" t="n">
        <f aca="false">H341-J341</f>
        <v>7.8</v>
      </c>
    </row>
    <row r="342" customFormat="false" ht="15" hidden="false" customHeight="false" outlineLevel="0" collapsed="false">
      <c r="A342" s="41" t="n">
        <v>46225</v>
      </c>
      <c r="B342" s="42" t="n">
        <f aca="false">DATE(YEAR(A342),MONTH(A342),1)</f>
        <v>46204</v>
      </c>
      <c r="C342" s="3" t="s">
        <v>41</v>
      </c>
      <c r="D342" s="3" t="s">
        <v>42</v>
      </c>
      <c r="E342" s="3" t="s">
        <v>28</v>
      </c>
      <c r="F342" s="3" t="n">
        <v>21</v>
      </c>
      <c r="G342" s="36" t="n">
        <v>1.3</v>
      </c>
      <c r="H342" s="36" t="n">
        <f aca="false">F342*G342</f>
        <v>27.3</v>
      </c>
      <c r="I342" s="36" t="n">
        <f aca="false">INDEX(Inventory!$D$2:$D$17,MATCH(C342,Inventory!$A$2:$A$17,0))</f>
        <v>0.8</v>
      </c>
      <c r="J342" s="36" t="n">
        <f aca="false">F342*I342</f>
        <v>16.8</v>
      </c>
      <c r="K342" s="36" t="n">
        <f aca="false">H342-J342</f>
        <v>10.5</v>
      </c>
    </row>
    <row r="343" customFormat="false" ht="15" hidden="false" customHeight="false" outlineLevel="0" collapsed="false">
      <c r="A343" s="41" t="n">
        <v>46225</v>
      </c>
      <c r="B343" s="42" t="n">
        <f aca="false">DATE(YEAR(A343),MONTH(A343),1)</f>
        <v>46204</v>
      </c>
      <c r="C343" s="3" t="s">
        <v>63</v>
      </c>
      <c r="D343" s="3" t="s">
        <v>64</v>
      </c>
      <c r="E343" s="3" t="s">
        <v>28</v>
      </c>
      <c r="F343" s="3" t="n">
        <v>12</v>
      </c>
      <c r="G343" s="36" t="n">
        <v>0.9</v>
      </c>
      <c r="H343" s="36" t="n">
        <f aca="false">F343*G343</f>
        <v>10.8</v>
      </c>
      <c r="I343" s="36" t="n">
        <f aca="false">INDEX(Inventory!$D$2:$D$17,MATCH(C343,Inventory!$A$2:$A$17,0))</f>
        <v>0.5</v>
      </c>
      <c r="J343" s="36" t="n">
        <f aca="false">F343*I343</f>
        <v>6</v>
      </c>
      <c r="K343" s="36" t="n">
        <f aca="false">H343-J343</f>
        <v>4.8</v>
      </c>
    </row>
    <row r="344" customFormat="false" ht="15" hidden="false" customHeight="false" outlineLevel="0" collapsed="false">
      <c r="A344" s="41" t="n">
        <v>46225</v>
      </c>
      <c r="B344" s="42" t="n">
        <f aca="false">DATE(YEAR(A344),MONTH(A344),1)</f>
        <v>46204</v>
      </c>
      <c r="C344" s="3" t="s">
        <v>49</v>
      </c>
      <c r="D344" s="3" t="s">
        <v>50</v>
      </c>
      <c r="E344" s="3" t="s">
        <v>28</v>
      </c>
      <c r="F344" s="3" t="n">
        <v>19</v>
      </c>
      <c r="G344" s="36" t="n">
        <v>1.2</v>
      </c>
      <c r="H344" s="36" t="n">
        <f aca="false">F344*G344</f>
        <v>22.8</v>
      </c>
      <c r="I344" s="36" t="n">
        <f aca="false">INDEX(Inventory!$D$2:$D$17,MATCH(C344,Inventory!$A$2:$A$17,0))</f>
        <v>0.7</v>
      </c>
      <c r="J344" s="36" t="n">
        <f aca="false">F344*I344</f>
        <v>13.3</v>
      </c>
      <c r="K344" s="36" t="n">
        <f aca="false">H344-J344</f>
        <v>9.5</v>
      </c>
    </row>
    <row r="345" customFormat="false" ht="15" hidden="false" customHeight="false" outlineLevel="0" collapsed="false">
      <c r="A345" s="41" t="n">
        <v>46225</v>
      </c>
      <c r="B345" s="42" t="n">
        <f aca="false">DATE(YEAR(A345),MONTH(A345),1)</f>
        <v>46204</v>
      </c>
      <c r="C345" s="3" t="s">
        <v>51</v>
      </c>
      <c r="D345" s="3" t="s">
        <v>52</v>
      </c>
      <c r="E345" s="3" t="s">
        <v>28</v>
      </c>
      <c r="F345" s="3" t="n">
        <v>23</v>
      </c>
      <c r="G345" s="36" t="n">
        <v>0.85</v>
      </c>
      <c r="H345" s="36" t="n">
        <f aca="false">F345*G345</f>
        <v>19.55</v>
      </c>
      <c r="I345" s="36" t="n">
        <f aca="false">INDEX(Inventory!$D$2:$D$17,MATCH(C345,Inventory!$A$2:$A$17,0))</f>
        <v>0.45</v>
      </c>
      <c r="J345" s="36" t="n">
        <f aca="false">F345*I345</f>
        <v>10.35</v>
      </c>
      <c r="K345" s="36" t="n">
        <f aca="false">H345-J345</f>
        <v>9.2</v>
      </c>
    </row>
    <row r="346" customFormat="false" ht="15" hidden="false" customHeight="false" outlineLevel="0" collapsed="false">
      <c r="A346" s="41" t="n">
        <v>46225</v>
      </c>
      <c r="B346" s="42" t="n">
        <f aca="false">DATE(YEAR(A346),MONTH(A346),1)</f>
        <v>46204</v>
      </c>
      <c r="C346" s="3" t="s">
        <v>37</v>
      </c>
      <c r="D346" s="3" t="s">
        <v>38</v>
      </c>
      <c r="E346" s="3" t="s">
        <v>26</v>
      </c>
      <c r="F346" s="3" t="n">
        <v>18</v>
      </c>
      <c r="G346" s="36" t="n">
        <v>1.2</v>
      </c>
      <c r="H346" s="36" t="n">
        <f aca="false">F346*G346</f>
        <v>21.6</v>
      </c>
      <c r="I346" s="36" t="n">
        <f aca="false">INDEX(Inventory!$D$2:$D$17,MATCH(C346,Inventory!$A$2:$A$17,0))</f>
        <v>0.85</v>
      </c>
      <c r="J346" s="36" t="n">
        <f aca="false">F346*I346</f>
        <v>15.3</v>
      </c>
      <c r="K346" s="36" t="n">
        <f aca="false">H346-J346</f>
        <v>6.3</v>
      </c>
    </row>
    <row r="347" customFormat="false" ht="15" hidden="false" customHeight="false" outlineLevel="0" collapsed="false">
      <c r="A347" s="41" t="n">
        <v>46225</v>
      </c>
      <c r="B347" s="42" t="n">
        <f aca="false">DATE(YEAR(A347),MONTH(A347),1)</f>
        <v>46204</v>
      </c>
      <c r="C347" s="3" t="s">
        <v>47</v>
      </c>
      <c r="D347" s="3" t="s">
        <v>48</v>
      </c>
      <c r="E347" s="3" t="s">
        <v>26</v>
      </c>
      <c r="F347" s="3" t="n">
        <v>14</v>
      </c>
      <c r="G347" s="36" t="n">
        <v>2.2</v>
      </c>
      <c r="H347" s="36" t="n">
        <f aca="false">F347*G347</f>
        <v>30.8</v>
      </c>
      <c r="I347" s="36" t="n">
        <f aca="false">INDEX(Inventory!$D$2:$D$17,MATCH(C347,Inventory!$A$2:$A$17,0))</f>
        <v>1.4</v>
      </c>
      <c r="J347" s="36" t="n">
        <f aca="false">F347*I347</f>
        <v>19.6</v>
      </c>
      <c r="K347" s="36" t="n">
        <f aca="false">H347-J347</f>
        <v>11.2</v>
      </c>
    </row>
    <row r="348" customFormat="false" ht="15" hidden="false" customHeight="false" outlineLevel="0" collapsed="false">
      <c r="A348" s="41" t="n">
        <v>46225</v>
      </c>
      <c r="B348" s="42" t="n">
        <f aca="false">DATE(YEAR(A348),MONTH(A348),1)</f>
        <v>46204</v>
      </c>
      <c r="C348" s="3" t="s">
        <v>43</v>
      </c>
      <c r="D348" s="3" t="s">
        <v>44</v>
      </c>
      <c r="E348" s="3" t="s">
        <v>26</v>
      </c>
      <c r="F348" s="3" t="n">
        <v>8</v>
      </c>
      <c r="G348" s="36" t="n">
        <v>3.8</v>
      </c>
      <c r="H348" s="36" t="n">
        <f aca="false">F348*G348</f>
        <v>30.4</v>
      </c>
      <c r="I348" s="36" t="n">
        <f aca="false">INDEX(Inventory!$D$2:$D$17,MATCH(C348,Inventory!$A$2:$A$17,0))</f>
        <v>2.6</v>
      </c>
      <c r="J348" s="36" t="n">
        <f aca="false">F348*I348</f>
        <v>20.8</v>
      </c>
      <c r="K348" s="36" t="n">
        <f aca="false">H348-J348</f>
        <v>9.6</v>
      </c>
    </row>
    <row r="349" customFormat="false" ht="15" hidden="false" customHeight="false" outlineLevel="0" collapsed="false">
      <c r="A349" s="41" t="n">
        <v>46225</v>
      </c>
      <c r="B349" s="42" t="n">
        <f aca="false">DATE(YEAR(A349),MONTH(A349),1)</f>
        <v>46204</v>
      </c>
      <c r="C349" s="3" t="s">
        <v>67</v>
      </c>
      <c r="D349" s="3" t="s">
        <v>68</v>
      </c>
      <c r="E349" s="3" t="s">
        <v>26</v>
      </c>
      <c r="F349" s="3" t="n">
        <v>6</v>
      </c>
      <c r="G349" s="36" t="n">
        <v>1.9</v>
      </c>
      <c r="H349" s="36" t="n">
        <f aca="false">F349*G349</f>
        <v>11.4</v>
      </c>
      <c r="I349" s="36" t="n">
        <f aca="false">INDEX(Inventory!$D$2:$D$17,MATCH(C349,Inventory!$A$2:$A$17,0))</f>
        <v>1.3</v>
      </c>
      <c r="J349" s="36" t="n">
        <f aca="false">F349*I349</f>
        <v>7.8</v>
      </c>
      <c r="K349" s="36" t="n">
        <f aca="false">H349-J349</f>
        <v>3.6</v>
      </c>
    </row>
    <row r="350" customFormat="false" ht="15" hidden="false" customHeight="false" outlineLevel="0" collapsed="false">
      <c r="A350" s="41" t="n">
        <v>46225</v>
      </c>
      <c r="B350" s="42" t="n">
        <f aca="false">DATE(YEAR(A350),MONTH(A350),1)</f>
        <v>46204</v>
      </c>
      <c r="C350" s="3" t="s">
        <v>61</v>
      </c>
      <c r="D350" s="3" t="s">
        <v>62</v>
      </c>
      <c r="E350" s="3" t="s">
        <v>29</v>
      </c>
      <c r="F350" s="3" t="n">
        <v>8</v>
      </c>
      <c r="G350" s="36" t="n">
        <v>1.9</v>
      </c>
      <c r="H350" s="36" t="n">
        <f aca="false">F350*G350</f>
        <v>15.2</v>
      </c>
      <c r="I350" s="36" t="n">
        <f aca="false">INDEX(Inventory!$D$2:$D$17,MATCH(C350,Inventory!$A$2:$A$17,0))</f>
        <v>1.1</v>
      </c>
      <c r="J350" s="36" t="n">
        <f aca="false">F350*I350</f>
        <v>8.8</v>
      </c>
      <c r="K350" s="36" t="n">
        <f aca="false">H350-J350</f>
        <v>6.4</v>
      </c>
    </row>
    <row r="351" customFormat="false" ht="15" hidden="false" customHeight="false" outlineLevel="0" collapsed="false">
      <c r="A351" s="41" t="n">
        <v>46225</v>
      </c>
      <c r="B351" s="42" t="n">
        <f aca="false">DATE(YEAR(A351),MONTH(A351),1)</f>
        <v>46204</v>
      </c>
      <c r="C351" s="3" t="s">
        <v>45</v>
      </c>
      <c r="D351" s="3" t="s">
        <v>46</v>
      </c>
      <c r="E351" s="3" t="s">
        <v>29</v>
      </c>
      <c r="F351" s="3" t="n">
        <v>4</v>
      </c>
      <c r="G351" s="36" t="n">
        <v>5.2</v>
      </c>
      <c r="H351" s="36" t="n">
        <f aca="false">F351*G351</f>
        <v>20.8</v>
      </c>
      <c r="I351" s="36" t="n">
        <f aca="false">INDEX(Inventory!$D$2:$D$17,MATCH(C351,Inventory!$A$2:$A$17,0))</f>
        <v>3.5</v>
      </c>
      <c r="J351" s="36" t="n">
        <f aca="false">F351*I351</f>
        <v>14</v>
      </c>
      <c r="K351" s="36" t="n">
        <f aca="false">H351-J351</f>
        <v>6.8</v>
      </c>
    </row>
    <row r="352" customFormat="false" ht="15" hidden="false" customHeight="false" outlineLevel="0" collapsed="false">
      <c r="A352" s="41" t="n">
        <v>46225</v>
      </c>
      <c r="B352" s="42" t="n">
        <f aca="false">DATE(YEAR(A352),MONTH(A352),1)</f>
        <v>46204</v>
      </c>
      <c r="C352" s="3" t="s">
        <v>65</v>
      </c>
      <c r="D352" s="3" t="s">
        <v>66</v>
      </c>
      <c r="E352" s="3" t="s">
        <v>29</v>
      </c>
      <c r="F352" s="3" t="n">
        <v>10</v>
      </c>
      <c r="G352" s="36" t="n">
        <v>1.5</v>
      </c>
      <c r="H352" s="36" t="n">
        <f aca="false">F352*G352</f>
        <v>15</v>
      </c>
      <c r="I352" s="36" t="n">
        <f aca="false">INDEX(Inventory!$D$2:$D$17,MATCH(C352,Inventory!$A$2:$A$17,0))</f>
        <v>0.9</v>
      </c>
      <c r="J352" s="36" t="n">
        <f aca="false">F352*I352</f>
        <v>9</v>
      </c>
      <c r="K352" s="36" t="n">
        <f aca="false">H352-J352</f>
        <v>6</v>
      </c>
    </row>
    <row r="353" customFormat="false" ht="15" hidden="false" customHeight="false" outlineLevel="0" collapsed="false">
      <c r="A353" s="41" t="n">
        <v>46225</v>
      </c>
      <c r="B353" s="42" t="n">
        <f aca="false">DATE(YEAR(A353),MONTH(A353),1)</f>
        <v>46204</v>
      </c>
      <c r="C353" s="3" t="s">
        <v>55</v>
      </c>
      <c r="D353" s="3" t="s">
        <v>56</v>
      </c>
      <c r="E353" s="3" t="s">
        <v>29</v>
      </c>
      <c r="F353" s="3" t="n">
        <v>7</v>
      </c>
      <c r="G353" s="36" t="n">
        <v>2.5</v>
      </c>
      <c r="H353" s="36" t="n">
        <f aca="false">F353*G353</f>
        <v>17.5</v>
      </c>
      <c r="I353" s="36" t="n">
        <f aca="false">INDEX(Inventory!$D$2:$D$17,MATCH(C353,Inventory!$A$2:$A$17,0))</f>
        <v>1.6</v>
      </c>
      <c r="J353" s="36" t="n">
        <f aca="false">F353*I353</f>
        <v>11.2</v>
      </c>
      <c r="K353" s="36" t="n">
        <f aca="false">H353-J353</f>
        <v>6.3</v>
      </c>
    </row>
    <row r="354" customFormat="false" ht="15" hidden="false" customHeight="false" outlineLevel="0" collapsed="false">
      <c r="A354" s="41" t="n">
        <v>46226</v>
      </c>
      <c r="B354" s="42" t="n">
        <f aca="false">DATE(YEAR(A354),MONTH(A354),1)</f>
        <v>46204</v>
      </c>
      <c r="C354" s="3" t="s">
        <v>39</v>
      </c>
      <c r="D354" s="3" t="s">
        <v>40</v>
      </c>
      <c r="E354" s="3" t="s">
        <v>27</v>
      </c>
      <c r="F354" s="3" t="n">
        <v>29</v>
      </c>
      <c r="G354" s="36" t="n">
        <v>1</v>
      </c>
      <c r="H354" s="36" t="n">
        <f aca="false">F354*G354</f>
        <v>29</v>
      </c>
      <c r="I354" s="36" t="n">
        <f aca="false">INDEX(Inventory!$D$2:$D$17,MATCH(C354,Inventory!$A$2:$A$17,0))</f>
        <v>0.6</v>
      </c>
      <c r="J354" s="36" t="n">
        <f aca="false">F354*I354</f>
        <v>17.4</v>
      </c>
      <c r="K354" s="36" t="n">
        <f aca="false">H354-J354</f>
        <v>11.6</v>
      </c>
    </row>
    <row r="355" customFormat="false" ht="15" hidden="false" customHeight="false" outlineLevel="0" collapsed="false">
      <c r="A355" s="41" t="n">
        <v>46226</v>
      </c>
      <c r="B355" s="42" t="n">
        <f aca="false">DATE(YEAR(A355),MONTH(A355),1)</f>
        <v>46204</v>
      </c>
      <c r="C355" s="3" t="s">
        <v>53</v>
      </c>
      <c r="D355" s="3" t="s">
        <v>54</v>
      </c>
      <c r="E355" s="3" t="s">
        <v>27</v>
      </c>
      <c r="F355" s="3" t="n">
        <v>17</v>
      </c>
      <c r="G355" s="36" t="n">
        <v>0.95</v>
      </c>
      <c r="H355" s="36" t="n">
        <f aca="false">F355*G355</f>
        <v>16.15</v>
      </c>
      <c r="I355" s="36" t="n">
        <f aca="false">INDEX(Inventory!$D$2:$D$17,MATCH(C355,Inventory!$A$2:$A$17,0))</f>
        <v>0.55</v>
      </c>
      <c r="J355" s="36" t="n">
        <f aca="false">F355*I355</f>
        <v>9.35</v>
      </c>
      <c r="K355" s="36" t="n">
        <f aca="false">H355-J355</f>
        <v>6.8</v>
      </c>
    </row>
    <row r="356" customFormat="false" ht="15" hidden="false" customHeight="false" outlineLevel="0" collapsed="false">
      <c r="A356" s="41" t="n">
        <v>46226</v>
      </c>
      <c r="B356" s="42" t="n">
        <f aca="false">DATE(YEAR(A356),MONTH(A356),1)</f>
        <v>46204</v>
      </c>
      <c r="C356" s="3" t="s">
        <v>59</v>
      </c>
      <c r="D356" s="3" t="s">
        <v>60</v>
      </c>
      <c r="E356" s="3" t="s">
        <v>27</v>
      </c>
      <c r="F356" s="3" t="n">
        <v>35</v>
      </c>
      <c r="G356" s="36" t="n">
        <v>0.6</v>
      </c>
      <c r="H356" s="36" t="n">
        <f aca="false">F356*G356</f>
        <v>21</v>
      </c>
      <c r="I356" s="36" t="n">
        <f aca="false">INDEX(Inventory!$D$2:$D$17,MATCH(C356,Inventory!$A$2:$A$17,0))</f>
        <v>0.3</v>
      </c>
      <c r="J356" s="36" t="n">
        <f aca="false">F356*I356</f>
        <v>10.5</v>
      </c>
      <c r="K356" s="36" t="n">
        <f aca="false">H356-J356</f>
        <v>10.5</v>
      </c>
    </row>
    <row r="357" customFormat="false" ht="15" hidden="false" customHeight="false" outlineLevel="0" collapsed="false">
      <c r="A357" s="41" t="n">
        <v>46226</v>
      </c>
      <c r="B357" s="42" t="n">
        <f aca="false">DATE(YEAR(A357),MONTH(A357),1)</f>
        <v>46204</v>
      </c>
      <c r="C357" s="3" t="s">
        <v>57</v>
      </c>
      <c r="D357" s="3" t="s">
        <v>58</v>
      </c>
      <c r="E357" s="3" t="s">
        <v>27</v>
      </c>
      <c r="F357" s="3" t="n">
        <v>12</v>
      </c>
      <c r="G357" s="36" t="n">
        <v>1.5</v>
      </c>
      <c r="H357" s="36" t="n">
        <f aca="false">F357*G357</f>
        <v>18</v>
      </c>
      <c r="I357" s="36" t="n">
        <f aca="false">INDEX(Inventory!$D$2:$D$17,MATCH(C357,Inventory!$A$2:$A$17,0))</f>
        <v>0.9</v>
      </c>
      <c r="J357" s="36" t="n">
        <f aca="false">F357*I357</f>
        <v>10.8</v>
      </c>
      <c r="K357" s="36" t="n">
        <f aca="false">H357-J357</f>
        <v>7.2</v>
      </c>
    </row>
    <row r="358" customFormat="false" ht="15" hidden="false" customHeight="false" outlineLevel="0" collapsed="false">
      <c r="A358" s="41" t="n">
        <v>46226</v>
      </c>
      <c r="B358" s="42" t="n">
        <f aca="false">DATE(YEAR(A358),MONTH(A358),1)</f>
        <v>46204</v>
      </c>
      <c r="C358" s="3" t="s">
        <v>41</v>
      </c>
      <c r="D358" s="3" t="s">
        <v>42</v>
      </c>
      <c r="E358" s="3" t="s">
        <v>28</v>
      </c>
      <c r="F358" s="3" t="n">
        <v>24</v>
      </c>
      <c r="G358" s="36" t="n">
        <v>1.3</v>
      </c>
      <c r="H358" s="36" t="n">
        <f aca="false">F358*G358</f>
        <v>31.2</v>
      </c>
      <c r="I358" s="36" t="n">
        <f aca="false">INDEX(Inventory!$D$2:$D$17,MATCH(C358,Inventory!$A$2:$A$17,0))</f>
        <v>0.8</v>
      </c>
      <c r="J358" s="36" t="n">
        <f aca="false">F358*I358</f>
        <v>19.2</v>
      </c>
      <c r="K358" s="36" t="n">
        <f aca="false">H358-J358</f>
        <v>12</v>
      </c>
    </row>
    <row r="359" customFormat="false" ht="15" hidden="false" customHeight="false" outlineLevel="0" collapsed="false">
      <c r="A359" s="41" t="n">
        <v>46226</v>
      </c>
      <c r="B359" s="42" t="n">
        <f aca="false">DATE(YEAR(A359),MONTH(A359),1)</f>
        <v>46204</v>
      </c>
      <c r="C359" s="3" t="s">
        <v>63</v>
      </c>
      <c r="D359" s="3" t="s">
        <v>64</v>
      </c>
      <c r="E359" s="3" t="s">
        <v>28</v>
      </c>
      <c r="F359" s="3" t="n">
        <v>13</v>
      </c>
      <c r="G359" s="36" t="n">
        <v>0.9</v>
      </c>
      <c r="H359" s="36" t="n">
        <f aca="false">F359*G359</f>
        <v>11.7</v>
      </c>
      <c r="I359" s="36" t="n">
        <f aca="false">INDEX(Inventory!$D$2:$D$17,MATCH(C359,Inventory!$A$2:$A$17,0))</f>
        <v>0.5</v>
      </c>
      <c r="J359" s="36" t="n">
        <f aca="false">F359*I359</f>
        <v>6.5</v>
      </c>
      <c r="K359" s="36" t="n">
        <f aca="false">H359-J359</f>
        <v>5.2</v>
      </c>
    </row>
    <row r="360" customFormat="false" ht="15" hidden="false" customHeight="false" outlineLevel="0" collapsed="false">
      <c r="A360" s="41" t="n">
        <v>46226</v>
      </c>
      <c r="B360" s="42" t="n">
        <f aca="false">DATE(YEAR(A360),MONTH(A360),1)</f>
        <v>46204</v>
      </c>
      <c r="C360" s="3" t="s">
        <v>49</v>
      </c>
      <c r="D360" s="3" t="s">
        <v>50</v>
      </c>
      <c r="E360" s="3" t="s">
        <v>28</v>
      </c>
      <c r="F360" s="3" t="n">
        <v>19</v>
      </c>
      <c r="G360" s="36" t="n">
        <v>1.2</v>
      </c>
      <c r="H360" s="36" t="n">
        <f aca="false">F360*G360</f>
        <v>22.8</v>
      </c>
      <c r="I360" s="36" t="n">
        <f aca="false">INDEX(Inventory!$D$2:$D$17,MATCH(C360,Inventory!$A$2:$A$17,0))</f>
        <v>0.7</v>
      </c>
      <c r="J360" s="36" t="n">
        <f aca="false">F360*I360</f>
        <v>13.3</v>
      </c>
      <c r="K360" s="36" t="n">
        <f aca="false">H360-J360</f>
        <v>9.5</v>
      </c>
    </row>
    <row r="361" customFormat="false" ht="15" hidden="false" customHeight="false" outlineLevel="0" collapsed="false">
      <c r="A361" s="41" t="n">
        <v>46226</v>
      </c>
      <c r="B361" s="42" t="n">
        <f aca="false">DATE(YEAR(A361),MONTH(A361),1)</f>
        <v>46204</v>
      </c>
      <c r="C361" s="3" t="s">
        <v>51</v>
      </c>
      <c r="D361" s="3" t="s">
        <v>52</v>
      </c>
      <c r="E361" s="3" t="s">
        <v>28</v>
      </c>
      <c r="F361" s="3" t="n">
        <v>26</v>
      </c>
      <c r="G361" s="36" t="n">
        <v>0.85</v>
      </c>
      <c r="H361" s="36" t="n">
        <f aca="false">F361*G361</f>
        <v>22.1</v>
      </c>
      <c r="I361" s="36" t="n">
        <f aca="false">INDEX(Inventory!$D$2:$D$17,MATCH(C361,Inventory!$A$2:$A$17,0))</f>
        <v>0.45</v>
      </c>
      <c r="J361" s="36" t="n">
        <f aca="false">F361*I361</f>
        <v>11.7</v>
      </c>
      <c r="K361" s="36" t="n">
        <f aca="false">H361-J361</f>
        <v>10.4</v>
      </c>
    </row>
    <row r="362" customFormat="false" ht="15" hidden="false" customHeight="false" outlineLevel="0" collapsed="false">
      <c r="A362" s="41" t="n">
        <v>46226</v>
      </c>
      <c r="B362" s="42" t="n">
        <f aca="false">DATE(YEAR(A362),MONTH(A362),1)</f>
        <v>46204</v>
      </c>
      <c r="C362" s="3" t="s">
        <v>37</v>
      </c>
      <c r="D362" s="3" t="s">
        <v>38</v>
      </c>
      <c r="E362" s="3" t="s">
        <v>26</v>
      </c>
      <c r="F362" s="3" t="n">
        <v>23</v>
      </c>
      <c r="G362" s="36" t="n">
        <v>1.2</v>
      </c>
      <c r="H362" s="36" t="n">
        <f aca="false">F362*G362</f>
        <v>27.6</v>
      </c>
      <c r="I362" s="36" t="n">
        <f aca="false">INDEX(Inventory!$D$2:$D$17,MATCH(C362,Inventory!$A$2:$A$17,0))</f>
        <v>0.85</v>
      </c>
      <c r="J362" s="36" t="n">
        <f aca="false">F362*I362</f>
        <v>19.55</v>
      </c>
      <c r="K362" s="36" t="n">
        <f aca="false">H362-J362</f>
        <v>8.05</v>
      </c>
    </row>
    <row r="363" customFormat="false" ht="15" hidden="false" customHeight="false" outlineLevel="0" collapsed="false">
      <c r="A363" s="41" t="n">
        <v>46226</v>
      </c>
      <c r="B363" s="42" t="n">
        <f aca="false">DATE(YEAR(A363),MONTH(A363),1)</f>
        <v>46204</v>
      </c>
      <c r="C363" s="3" t="s">
        <v>47</v>
      </c>
      <c r="D363" s="3" t="s">
        <v>48</v>
      </c>
      <c r="E363" s="3" t="s">
        <v>26</v>
      </c>
      <c r="F363" s="3" t="n">
        <v>8</v>
      </c>
      <c r="G363" s="36" t="n">
        <v>2.2</v>
      </c>
      <c r="H363" s="36" t="n">
        <f aca="false">F363*G363</f>
        <v>17.6</v>
      </c>
      <c r="I363" s="36" t="n">
        <f aca="false">INDEX(Inventory!$D$2:$D$17,MATCH(C363,Inventory!$A$2:$A$17,0))</f>
        <v>1.4</v>
      </c>
      <c r="J363" s="36" t="n">
        <f aca="false">F363*I363</f>
        <v>11.2</v>
      </c>
      <c r="K363" s="36" t="n">
        <f aca="false">H363-J363</f>
        <v>6.4</v>
      </c>
    </row>
    <row r="364" customFormat="false" ht="15" hidden="false" customHeight="false" outlineLevel="0" collapsed="false">
      <c r="A364" s="41" t="n">
        <v>46226</v>
      </c>
      <c r="B364" s="42" t="n">
        <f aca="false">DATE(YEAR(A364),MONTH(A364),1)</f>
        <v>46204</v>
      </c>
      <c r="C364" s="3" t="s">
        <v>43</v>
      </c>
      <c r="D364" s="3" t="s">
        <v>44</v>
      </c>
      <c r="E364" s="3" t="s">
        <v>26</v>
      </c>
      <c r="F364" s="3" t="n">
        <v>5</v>
      </c>
      <c r="G364" s="36" t="n">
        <v>3.8</v>
      </c>
      <c r="H364" s="36" t="n">
        <f aca="false">F364*G364</f>
        <v>19</v>
      </c>
      <c r="I364" s="36" t="n">
        <f aca="false">INDEX(Inventory!$D$2:$D$17,MATCH(C364,Inventory!$A$2:$A$17,0))</f>
        <v>2.6</v>
      </c>
      <c r="J364" s="36" t="n">
        <f aca="false">F364*I364</f>
        <v>13</v>
      </c>
      <c r="K364" s="36" t="n">
        <f aca="false">H364-J364</f>
        <v>6</v>
      </c>
    </row>
    <row r="365" customFormat="false" ht="15" hidden="false" customHeight="false" outlineLevel="0" collapsed="false">
      <c r="A365" s="41" t="n">
        <v>46226</v>
      </c>
      <c r="B365" s="42" t="n">
        <f aca="false">DATE(YEAR(A365),MONTH(A365),1)</f>
        <v>46204</v>
      </c>
      <c r="C365" s="3" t="s">
        <v>67</v>
      </c>
      <c r="D365" s="3" t="s">
        <v>68</v>
      </c>
      <c r="E365" s="3" t="s">
        <v>26</v>
      </c>
      <c r="F365" s="3" t="n">
        <v>5</v>
      </c>
      <c r="G365" s="36" t="n">
        <v>1.9</v>
      </c>
      <c r="H365" s="36" t="n">
        <f aca="false">F365*G365</f>
        <v>9.5</v>
      </c>
      <c r="I365" s="36" t="n">
        <f aca="false">INDEX(Inventory!$D$2:$D$17,MATCH(C365,Inventory!$A$2:$A$17,0))</f>
        <v>1.3</v>
      </c>
      <c r="J365" s="36" t="n">
        <f aca="false">F365*I365</f>
        <v>6.5</v>
      </c>
      <c r="K365" s="36" t="n">
        <f aca="false">H365-J365</f>
        <v>3</v>
      </c>
    </row>
    <row r="366" customFormat="false" ht="15" hidden="false" customHeight="false" outlineLevel="0" collapsed="false">
      <c r="A366" s="41" t="n">
        <v>46226</v>
      </c>
      <c r="B366" s="42" t="n">
        <f aca="false">DATE(YEAR(A366),MONTH(A366),1)</f>
        <v>46204</v>
      </c>
      <c r="C366" s="3" t="s">
        <v>61</v>
      </c>
      <c r="D366" s="3" t="s">
        <v>62</v>
      </c>
      <c r="E366" s="3" t="s">
        <v>29</v>
      </c>
      <c r="F366" s="3" t="n">
        <v>7</v>
      </c>
      <c r="G366" s="36" t="n">
        <v>1.9</v>
      </c>
      <c r="H366" s="36" t="n">
        <f aca="false">F366*G366</f>
        <v>13.3</v>
      </c>
      <c r="I366" s="36" t="n">
        <f aca="false">INDEX(Inventory!$D$2:$D$17,MATCH(C366,Inventory!$A$2:$A$17,0))</f>
        <v>1.1</v>
      </c>
      <c r="J366" s="36" t="n">
        <f aca="false">F366*I366</f>
        <v>7.7</v>
      </c>
      <c r="K366" s="36" t="n">
        <f aca="false">H366-J366</f>
        <v>5.6</v>
      </c>
    </row>
    <row r="367" customFormat="false" ht="15" hidden="false" customHeight="false" outlineLevel="0" collapsed="false">
      <c r="A367" s="41" t="n">
        <v>46226</v>
      </c>
      <c r="B367" s="42" t="n">
        <f aca="false">DATE(YEAR(A367),MONTH(A367),1)</f>
        <v>46204</v>
      </c>
      <c r="C367" s="3" t="s">
        <v>45</v>
      </c>
      <c r="D367" s="3" t="s">
        <v>46</v>
      </c>
      <c r="E367" s="3" t="s">
        <v>29</v>
      </c>
      <c r="F367" s="3" t="n">
        <v>6</v>
      </c>
      <c r="G367" s="36" t="n">
        <v>5.2</v>
      </c>
      <c r="H367" s="36" t="n">
        <f aca="false">F367*G367</f>
        <v>31.2</v>
      </c>
      <c r="I367" s="36" t="n">
        <f aca="false">INDEX(Inventory!$D$2:$D$17,MATCH(C367,Inventory!$A$2:$A$17,0))</f>
        <v>3.5</v>
      </c>
      <c r="J367" s="36" t="n">
        <f aca="false">F367*I367</f>
        <v>21</v>
      </c>
      <c r="K367" s="36" t="n">
        <f aca="false">H367-J367</f>
        <v>10.2</v>
      </c>
    </row>
    <row r="368" customFormat="false" ht="15" hidden="false" customHeight="false" outlineLevel="0" collapsed="false">
      <c r="A368" s="41" t="n">
        <v>46226</v>
      </c>
      <c r="B368" s="42" t="n">
        <f aca="false">DATE(YEAR(A368),MONTH(A368),1)</f>
        <v>46204</v>
      </c>
      <c r="C368" s="3" t="s">
        <v>65</v>
      </c>
      <c r="D368" s="3" t="s">
        <v>66</v>
      </c>
      <c r="E368" s="3" t="s">
        <v>29</v>
      </c>
      <c r="F368" s="3" t="n">
        <v>8</v>
      </c>
      <c r="G368" s="36" t="n">
        <v>1.5</v>
      </c>
      <c r="H368" s="36" t="n">
        <f aca="false">F368*G368</f>
        <v>12</v>
      </c>
      <c r="I368" s="36" t="n">
        <f aca="false">INDEX(Inventory!$D$2:$D$17,MATCH(C368,Inventory!$A$2:$A$17,0))</f>
        <v>0.9</v>
      </c>
      <c r="J368" s="36" t="n">
        <f aca="false">F368*I368</f>
        <v>7.2</v>
      </c>
      <c r="K368" s="36" t="n">
        <f aca="false">H368-J368</f>
        <v>4.8</v>
      </c>
    </row>
    <row r="369" customFormat="false" ht="15" hidden="false" customHeight="false" outlineLevel="0" collapsed="false">
      <c r="A369" s="41" t="n">
        <v>46226</v>
      </c>
      <c r="B369" s="42" t="n">
        <f aca="false">DATE(YEAR(A369),MONTH(A369),1)</f>
        <v>46204</v>
      </c>
      <c r="C369" s="3" t="s">
        <v>55</v>
      </c>
      <c r="D369" s="3" t="s">
        <v>56</v>
      </c>
      <c r="E369" s="3" t="s">
        <v>29</v>
      </c>
      <c r="F369" s="3" t="n">
        <v>10</v>
      </c>
      <c r="G369" s="36" t="n">
        <v>2.5</v>
      </c>
      <c r="H369" s="36" t="n">
        <f aca="false">F369*G369</f>
        <v>25</v>
      </c>
      <c r="I369" s="36" t="n">
        <f aca="false">INDEX(Inventory!$D$2:$D$17,MATCH(C369,Inventory!$A$2:$A$17,0))</f>
        <v>1.6</v>
      </c>
      <c r="J369" s="36" t="n">
        <f aca="false">F369*I369</f>
        <v>16</v>
      </c>
      <c r="K369" s="36" t="n">
        <f aca="false">H369-J369</f>
        <v>9</v>
      </c>
    </row>
    <row r="370" customFormat="false" ht="15" hidden="false" customHeight="false" outlineLevel="0" collapsed="false">
      <c r="A370" s="41" t="n">
        <v>46227</v>
      </c>
      <c r="B370" s="42" t="n">
        <f aca="false">DATE(YEAR(A370),MONTH(A370),1)</f>
        <v>46204</v>
      </c>
      <c r="C370" s="3" t="s">
        <v>39</v>
      </c>
      <c r="D370" s="3" t="s">
        <v>40</v>
      </c>
      <c r="E370" s="3" t="s">
        <v>27</v>
      </c>
      <c r="F370" s="3" t="n">
        <v>45</v>
      </c>
      <c r="G370" s="36" t="n">
        <v>1</v>
      </c>
      <c r="H370" s="36" t="n">
        <f aca="false">F370*G370</f>
        <v>45</v>
      </c>
      <c r="I370" s="36" t="n">
        <f aca="false">INDEX(Inventory!$D$2:$D$17,MATCH(C370,Inventory!$A$2:$A$17,0))</f>
        <v>0.6</v>
      </c>
      <c r="J370" s="36" t="n">
        <f aca="false">F370*I370</f>
        <v>27</v>
      </c>
      <c r="K370" s="36" t="n">
        <f aca="false">H370-J370</f>
        <v>18</v>
      </c>
    </row>
    <row r="371" customFormat="false" ht="15" hidden="false" customHeight="false" outlineLevel="0" collapsed="false">
      <c r="A371" s="41" t="n">
        <v>46227</v>
      </c>
      <c r="B371" s="42" t="n">
        <f aca="false">DATE(YEAR(A371),MONTH(A371),1)</f>
        <v>46204</v>
      </c>
      <c r="C371" s="3" t="s">
        <v>53</v>
      </c>
      <c r="D371" s="3" t="s">
        <v>54</v>
      </c>
      <c r="E371" s="3" t="s">
        <v>27</v>
      </c>
      <c r="F371" s="3" t="n">
        <v>21</v>
      </c>
      <c r="G371" s="36" t="n">
        <v>0.95</v>
      </c>
      <c r="H371" s="36" t="n">
        <f aca="false">F371*G371</f>
        <v>19.95</v>
      </c>
      <c r="I371" s="36" t="n">
        <f aca="false">INDEX(Inventory!$D$2:$D$17,MATCH(C371,Inventory!$A$2:$A$17,0))</f>
        <v>0.55</v>
      </c>
      <c r="J371" s="36" t="n">
        <f aca="false">F371*I371</f>
        <v>11.55</v>
      </c>
      <c r="K371" s="36" t="n">
        <f aca="false">H371-J371</f>
        <v>8.4</v>
      </c>
    </row>
    <row r="372" customFormat="false" ht="15" hidden="false" customHeight="false" outlineLevel="0" collapsed="false">
      <c r="A372" s="41" t="n">
        <v>46227</v>
      </c>
      <c r="B372" s="42" t="n">
        <f aca="false">DATE(YEAR(A372),MONTH(A372),1)</f>
        <v>46204</v>
      </c>
      <c r="C372" s="3" t="s">
        <v>59</v>
      </c>
      <c r="D372" s="3" t="s">
        <v>60</v>
      </c>
      <c r="E372" s="3" t="s">
        <v>27</v>
      </c>
      <c r="F372" s="3" t="n">
        <v>23</v>
      </c>
      <c r="G372" s="36" t="n">
        <v>0.6</v>
      </c>
      <c r="H372" s="36" t="n">
        <f aca="false">F372*G372</f>
        <v>13.8</v>
      </c>
      <c r="I372" s="36" t="n">
        <f aca="false">INDEX(Inventory!$D$2:$D$17,MATCH(C372,Inventory!$A$2:$A$17,0))</f>
        <v>0.3</v>
      </c>
      <c r="J372" s="36" t="n">
        <f aca="false">F372*I372</f>
        <v>6.9</v>
      </c>
      <c r="K372" s="36" t="n">
        <f aca="false">H372-J372</f>
        <v>6.9</v>
      </c>
    </row>
    <row r="373" customFormat="false" ht="15" hidden="false" customHeight="false" outlineLevel="0" collapsed="false">
      <c r="A373" s="41" t="n">
        <v>46227</v>
      </c>
      <c r="B373" s="42" t="n">
        <f aca="false">DATE(YEAR(A373),MONTH(A373),1)</f>
        <v>46204</v>
      </c>
      <c r="C373" s="3" t="s">
        <v>57</v>
      </c>
      <c r="D373" s="3" t="s">
        <v>58</v>
      </c>
      <c r="E373" s="3" t="s">
        <v>27</v>
      </c>
      <c r="F373" s="3" t="n">
        <v>13</v>
      </c>
      <c r="G373" s="36" t="n">
        <v>1.5</v>
      </c>
      <c r="H373" s="36" t="n">
        <f aca="false">F373*G373</f>
        <v>19.5</v>
      </c>
      <c r="I373" s="36" t="n">
        <f aca="false">INDEX(Inventory!$D$2:$D$17,MATCH(C373,Inventory!$A$2:$A$17,0))</f>
        <v>0.9</v>
      </c>
      <c r="J373" s="36" t="n">
        <f aca="false">F373*I373</f>
        <v>11.7</v>
      </c>
      <c r="K373" s="36" t="n">
        <f aca="false">H373-J373</f>
        <v>7.8</v>
      </c>
    </row>
    <row r="374" customFormat="false" ht="15" hidden="false" customHeight="false" outlineLevel="0" collapsed="false">
      <c r="A374" s="41" t="n">
        <v>46227</v>
      </c>
      <c r="B374" s="42" t="n">
        <f aca="false">DATE(YEAR(A374),MONTH(A374),1)</f>
        <v>46204</v>
      </c>
      <c r="C374" s="3" t="s">
        <v>41</v>
      </c>
      <c r="D374" s="3" t="s">
        <v>42</v>
      </c>
      <c r="E374" s="3" t="s">
        <v>28</v>
      </c>
      <c r="F374" s="3" t="n">
        <v>23</v>
      </c>
      <c r="G374" s="36" t="n">
        <v>1.3</v>
      </c>
      <c r="H374" s="36" t="n">
        <f aca="false">F374*G374</f>
        <v>29.9</v>
      </c>
      <c r="I374" s="36" t="n">
        <f aca="false">INDEX(Inventory!$D$2:$D$17,MATCH(C374,Inventory!$A$2:$A$17,0))</f>
        <v>0.8</v>
      </c>
      <c r="J374" s="36" t="n">
        <f aca="false">F374*I374</f>
        <v>18.4</v>
      </c>
      <c r="K374" s="36" t="n">
        <f aca="false">H374-J374</f>
        <v>11.5</v>
      </c>
    </row>
    <row r="375" customFormat="false" ht="15" hidden="false" customHeight="false" outlineLevel="0" collapsed="false">
      <c r="A375" s="41" t="n">
        <v>46227</v>
      </c>
      <c r="B375" s="42" t="n">
        <f aca="false">DATE(YEAR(A375),MONTH(A375),1)</f>
        <v>46204</v>
      </c>
      <c r="C375" s="3" t="s">
        <v>63</v>
      </c>
      <c r="D375" s="3" t="s">
        <v>64</v>
      </c>
      <c r="E375" s="3" t="s">
        <v>28</v>
      </c>
      <c r="F375" s="3" t="n">
        <v>11</v>
      </c>
      <c r="G375" s="36" t="n">
        <v>0.9</v>
      </c>
      <c r="H375" s="36" t="n">
        <f aca="false">F375*G375</f>
        <v>9.9</v>
      </c>
      <c r="I375" s="36" t="n">
        <f aca="false">INDEX(Inventory!$D$2:$D$17,MATCH(C375,Inventory!$A$2:$A$17,0))</f>
        <v>0.5</v>
      </c>
      <c r="J375" s="36" t="n">
        <f aca="false">F375*I375</f>
        <v>5.5</v>
      </c>
      <c r="K375" s="36" t="n">
        <f aca="false">H375-J375</f>
        <v>4.4</v>
      </c>
    </row>
    <row r="376" customFormat="false" ht="15" hidden="false" customHeight="false" outlineLevel="0" collapsed="false">
      <c r="A376" s="41" t="n">
        <v>46227</v>
      </c>
      <c r="B376" s="42" t="n">
        <f aca="false">DATE(YEAR(A376),MONTH(A376),1)</f>
        <v>46204</v>
      </c>
      <c r="C376" s="3" t="s">
        <v>49</v>
      </c>
      <c r="D376" s="3" t="s">
        <v>50</v>
      </c>
      <c r="E376" s="3" t="s">
        <v>28</v>
      </c>
      <c r="F376" s="3" t="n">
        <v>17</v>
      </c>
      <c r="G376" s="36" t="n">
        <v>1.2</v>
      </c>
      <c r="H376" s="36" t="n">
        <f aca="false">F376*G376</f>
        <v>20.4</v>
      </c>
      <c r="I376" s="36" t="n">
        <f aca="false">INDEX(Inventory!$D$2:$D$17,MATCH(C376,Inventory!$A$2:$A$17,0))</f>
        <v>0.7</v>
      </c>
      <c r="J376" s="36" t="n">
        <f aca="false">F376*I376</f>
        <v>11.9</v>
      </c>
      <c r="K376" s="36" t="n">
        <f aca="false">H376-J376</f>
        <v>8.5</v>
      </c>
    </row>
    <row r="377" customFormat="false" ht="15" hidden="false" customHeight="false" outlineLevel="0" collapsed="false">
      <c r="A377" s="41" t="n">
        <v>46227</v>
      </c>
      <c r="B377" s="42" t="n">
        <f aca="false">DATE(YEAR(A377),MONTH(A377),1)</f>
        <v>46204</v>
      </c>
      <c r="C377" s="3" t="s">
        <v>51</v>
      </c>
      <c r="D377" s="3" t="s">
        <v>52</v>
      </c>
      <c r="E377" s="3" t="s">
        <v>28</v>
      </c>
      <c r="F377" s="3" t="n">
        <v>27</v>
      </c>
      <c r="G377" s="36" t="n">
        <v>0.85</v>
      </c>
      <c r="H377" s="36" t="n">
        <f aca="false">F377*G377</f>
        <v>22.95</v>
      </c>
      <c r="I377" s="36" t="n">
        <f aca="false">INDEX(Inventory!$D$2:$D$17,MATCH(C377,Inventory!$A$2:$A$17,0))</f>
        <v>0.45</v>
      </c>
      <c r="J377" s="36" t="n">
        <f aca="false">F377*I377</f>
        <v>12.15</v>
      </c>
      <c r="K377" s="36" t="n">
        <f aca="false">H377-J377</f>
        <v>10.8</v>
      </c>
    </row>
    <row r="378" customFormat="false" ht="15" hidden="false" customHeight="false" outlineLevel="0" collapsed="false">
      <c r="A378" s="41" t="n">
        <v>46227</v>
      </c>
      <c r="B378" s="42" t="n">
        <f aca="false">DATE(YEAR(A378),MONTH(A378),1)</f>
        <v>46204</v>
      </c>
      <c r="C378" s="3" t="s">
        <v>37</v>
      </c>
      <c r="D378" s="3" t="s">
        <v>38</v>
      </c>
      <c r="E378" s="3" t="s">
        <v>26</v>
      </c>
      <c r="F378" s="3" t="n">
        <v>25</v>
      </c>
      <c r="G378" s="36" t="n">
        <v>1.2</v>
      </c>
      <c r="H378" s="36" t="n">
        <f aca="false">F378*G378</f>
        <v>30</v>
      </c>
      <c r="I378" s="36" t="n">
        <f aca="false">INDEX(Inventory!$D$2:$D$17,MATCH(C378,Inventory!$A$2:$A$17,0))</f>
        <v>0.85</v>
      </c>
      <c r="J378" s="36" t="n">
        <f aca="false">F378*I378</f>
        <v>21.25</v>
      </c>
      <c r="K378" s="36" t="n">
        <f aca="false">H378-J378</f>
        <v>8.75</v>
      </c>
    </row>
    <row r="379" customFormat="false" ht="15" hidden="false" customHeight="false" outlineLevel="0" collapsed="false">
      <c r="A379" s="41" t="n">
        <v>46227</v>
      </c>
      <c r="B379" s="42" t="n">
        <f aca="false">DATE(YEAR(A379),MONTH(A379),1)</f>
        <v>46204</v>
      </c>
      <c r="C379" s="3" t="s">
        <v>47</v>
      </c>
      <c r="D379" s="3" t="s">
        <v>48</v>
      </c>
      <c r="E379" s="3" t="s">
        <v>26</v>
      </c>
      <c r="F379" s="3" t="n">
        <v>10</v>
      </c>
      <c r="G379" s="36" t="n">
        <v>2.2</v>
      </c>
      <c r="H379" s="36" t="n">
        <f aca="false">F379*G379</f>
        <v>22</v>
      </c>
      <c r="I379" s="36" t="n">
        <f aca="false">INDEX(Inventory!$D$2:$D$17,MATCH(C379,Inventory!$A$2:$A$17,0))</f>
        <v>1.4</v>
      </c>
      <c r="J379" s="36" t="n">
        <f aca="false">F379*I379</f>
        <v>14</v>
      </c>
      <c r="K379" s="36" t="n">
        <f aca="false">H379-J379</f>
        <v>8</v>
      </c>
    </row>
    <row r="380" customFormat="false" ht="15" hidden="false" customHeight="false" outlineLevel="0" collapsed="false">
      <c r="A380" s="41" t="n">
        <v>46227</v>
      </c>
      <c r="B380" s="42" t="n">
        <f aca="false">DATE(YEAR(A380),MONTH(A380),1)</f>
        <v>46204</v>
      </c>
      <c r="C380" s="3" t="s">
        <v>43</v>
      </c>
      <c r="D380" s="3" t="s">
        <v>44</v>
      </c>
      <c r="E380" s="3" t="s">
        <v>26</v>
      </c>
      <c r="F380" s="3" t="n">
        <v>7</v>
      </c>
      <c r="G380" s="36" t="n">
        <v>3.8</v>
      </c>
      <c r="H380" s="36" t="n">
        <f aca="false">F380*G380</f>
        <v>26.6</v>
      </c>
      <c r="I380" s="36" t="n">
        <f aca="false">INDEX(Inventory!$D$2:$D$17,MATCH(C380,Inventory!$A$2:$A$17,0))</f>
        <v>2.6</v>
      </c>
      <c r="J380" s="36" t="n">
        <f aca="false">F380*I380</f>
        <v>18.2</v>
      </c>
      <c r="K380" s="36" t="n">
        <f aca="false">H380-J380</f>
        <v>8.4</v>
      </c>
    </row>
    <row r="381" customFormat="false" ht="15" hidden="false" customHeight="false" outlineLevel="0" collapsed="false">
      <c r="A381" s="41" t="n">
        <v>46227</v>
      </c>
      <c r="B381" s="42" t="n">
        <f aca="false">DATE(YEAR(A381),MONTH(A381),1)</f>
        <v>46204</v>
      </c>
      <c r="C381" s="3" t="s">
        <v>67</v>
      </c>
      <c r="D381" s="3" t="s">
        <v>68</v>
      </c>
      <c r="E381" s="3" t="s">
        <v>26</v>
      </c>
      <c r="F381" s="3" t="n">
        <v>10</v>
      </c>
      <c r="G381" s="36" t="n">
        <v>1.9</v>
      </c>
      <c r="H381" s="36" t="n">
        <f aca="false">F381*G381</f>
        <v>19</v>
      </c>
      <c r="I381" s="36" t="n">
        <f aca="false">INDEX(Inventory!$D$2:$D$17,MATCH(C381,Inventory!$A$2:$A$17,0))</f>
        <v>1.3</v>
      </c>
      <c r="J381" s="36" t="n">
        <f aca="false">F381*I381</f>
        <v>13</v>
      </c>
      <c r="K381" s="36" t="n">
        <f aca="false">H381-J381</f>
        <v>6</v>
      </c>
    </row>
    <row r="382" customFormat="false" ht="15" hidden="false" customHeight="false" outlineLevel="0" collapsed="false">
      <c r="A382" s="41" t="n">
        <v>46227</v>
      </c>
      <c r="B382" s="42" t="n">
        <f aca="false">DATE(YEAR(A382),MONTH(A382),1)</f>
        <v>46204</v>
      </c>
      <c r="C382" s="3" t="s">
        <v>61</v>
      </c>
      <c r="D382" s="3" t="s">
        <v>62</v>
      </c>
      <c r="E382" s="3" t="s">
        <v>29</v>
      </c>
      <c r="F382" s="3" t="n">
        <v>10</v>
      </c>
      <c r="G382" s="36" t="n">
        <v>1.9</v>
      </c>
      <c r="H382" s="36" t="n">
        <f aca="false">F382*G382</f>
        <v>19</v>
      </c>
      <c r="I382" s="36" t="n">
        <f aca="false">INDEX(Inventory!$D$2:$D$17,MATCH(C382,Inventory!$A$2:$A$17,0))</f>
        <v>1.1</v>
      </c>
      <c r="J382" s="36" t="n">
        <f aca="false">F382*I382</f>
        <v>11</v>
      </c>
      <c r="K382" s="36" t="n">
        <f aca="false">H382-J382</f>
        <v>8</v>
      </c>
    </row>
    <row r="383" customFormat="false" ht="15" hidden="false" customHeight="false" outlineLevel="0" collapsed="false">
      <c r="A383" s="41" t="n">
        <v>46227</v>
      </c>
      <c r="B383" s="42" t="n">
        <f aca="false">DATE(YEAR(A383),MONTH(A383),1)</f>
        <v>46204</v>
      </c>
      <c r="C383" s="3" t="s">
        <v>45</v>
      </c>
      <c r="D383" s="3" t="s">
        <v>46</v>
      </c>
      <c r="E383" s="3" t="s">
        <v>29</v>
      </c>
      <c r="F383" s="3" t="n">
        <v>5</v>
      </c>
      <c r="G383" s="36" t="n">
        <v>5.2</v>
      </c>
      <c r="H383" s="36" t="n">
        <f aca="false">F383*G383</f>
        <v>26</v>
      </c>
      <c r="I383" s="36" t="n">
        <f aca="false">INDEX(Inventory!$D$2:$D$17,MATCH(C383,Inventory!$A$2:$A$17,0))</f>
        <v>3.5</v>
      </c>
      <c r="J383" s="36" t="n">
        <f aca="false">F383*I383</f>
        <v>17.5</v>
      </c>
      <c r="K383" s="36" t="n">
        <f aca="false">H383-J383</f>
        <v>8.5</v>
      </c>
    </row>
    <row r="384" customFormat="false" ht="15" hidden="false" customHeight="false" outlineLevel="0" collapsed="false">
      <c r="A384" s="41" t="n">
        <v>46227</v>
      </c>
      <c r="B384" s="42" t="n">
        <f aca="false">DATE(YEAR(A384),MONTH(A384),1)</f>
        <v>46204</v>
      </c>
      <c r="C384" s="3" t="s">
        <v>65</v>
      </c>
      <c r="D384" s="3" t="s">
        <v>66</v>
      </c>
      <c r="E384" s="3" t="s">
        <v>29</v>
      </c>
      <c r="F384" s="3" t="n">
        <v>8</v>
      </c>
      <c r="G384" s="36" t="n">
        <v>1.5</v>
      </c>
      <c r="H384" s="36" t="n">
        <f aca="false">F384*G384</f>
        <v>12</v>
      </c>
      <c r="I384" s="36" t="n">
        <f aca="false">INDEX(Inventory!$D$2:$D$17,MATCH(C384,Inventory!$A$2:$A$17,0))</f>
        <v>0.9</v>
      </c>
      <c r="J384" s="36" t="n">
        <f aca="false">F384*I384</f>
        <v>7.2</v>
      </c>
      <c r="K384" s="36" t="n">
        <f aca="false">H384-J384</f>
        <v>4.8</v>
      </c>
    </row>
    <row r="385" customFormat="false" ht="15" hidden="false" customHeight="false" outlineLevel="0" collapsed="false">
      <c r="A385" s="41" t="n">
        <v>46227</v>
      </c>
      <c r="B385" s="42" t="n">
        <f aca="false">DATE(YEAR(A385),MONTH(A385),1)</f>
        <v>46204</v>
      </c>
      <c r="C385" s="3" t="s">
        <v>55</v>
      </c>
      <c r="D385" s="3" t="s">
        <v>56</v>
      </c>
      <c r="E385" s="3" t="s">
        <v>29</v>
      </c>
      <c r="F385" s="3" t="n">
        <v>10</v>
      </c>
      <c r="G385" s="36" t="n">
        <v>2.5</v>
      </c>
      <c r="H385" s="36" t="n">
        <f aca="false">F385*G385</f>
        <v>25</v>
      </c>
      <c r="I385" s="36" t="n">
        <f aca="false">INDEX(Inventory!$D$2:$D$17,MATCH(C385,Inventory!$A$2:$A$17,0))</f>
        <v>1.6</v>
      </c>
      <c r="J385" s="36" t="n">
        <f aca="false">F385*I385</f>
        <v>16</v>
      </c>
      <c r="K385" s="36" t="n">
        <f aca="false">H385-J385</f>
        <v>9</v>
      </c>
    </row>
    <row r="386" customFormat="false" ht="15" hidden="false" customHeight="false" outlineLevel="0" collapsed="false">
      <c r="A386" s="41" t="n">
        <v>46228</v>
      </c>
      <c r="B386" s="42" t="n">
        <f aca="false">DATE(YEAR(A386),MONTH(A386),1)</f>
        <v>46204</v>
      </c>
      <c r="C386" s="3" t="s">
        <v>39</v>
      </c>
      <c r="D386" s="3" t="s">
        <v>40</v>
      </c>
      <c r="E386" s="3" t="s">
        <v>27</v>
      </c>
      <c r="F386" s="3" t="n">
        <v>31</v>
      </c>
      <c r="G386" s="36" t="n">
        <v>1</v>
      </c>
      <c r="H386" s="36" t="n">
        <f aca="false">F386*G386</f>
        <v>31</v>
      </c>
      <c r="I386" s="36" t="n">
        <f aca="false">INDEX(Inventory!$D$2:$D$17,MATCH(C386,Inventory!$A$2:$A$17,0))</f>
        <v>0.6</v>
      </c>
      <c r="J386" s="36" t="n">
        <f aca="false">F386*I386</f>
        <v>18.6</v>
      </c>
      <c r="K386" s="36" t="n">
        <f aca="false">H386-J386</f>
        <v>12.4</v>
      </c>
    </row>
    <row r="387" customFormat="false" ht="15" hidden="false" customHeight="false" outlineLevel="0" collapsed="false">
      <c r="A387" s="41" t="n">
        <v>46228</v>
      </c>
      <c r="B387" s="42" t="n">
        <f aca="false">DATE(YEAR(A387),MONTH(A387),1)</f>
        <v>46204</v>
      </c>
      <c r="C387" s="3" t="s">
        <v>53</v>
      </c>
      <c r="D387" s="3" t="s">
        <v>54</v>
      </c>
      <c r="E387" s="3" t="s">
        <v>27</v>
      </c>
      <c r="F387" s="3" t="n">
        <v>26</v>
      </c>
      <c r="G387" s="36" t="n">
        <v>0.95</v>
      </c>
      <c r="H387" s="36" t="n">
        <f aca="false">F387*G387</f>
        <v>24.7</v>
      </c>
      <c r="I387" s="36" t="n">
        <f aca="false">INDEX(Inventory!$D$2:$D$17,MATCH(C387,Inventory!$A$2:$A$17,0))</f>
        <v>0.55</v>
      </c>
      <c r="J387" s="36" t="n">
        <f aca="false">F387*I387</f>
        <v>14.3</v>
      </c>
      <c r="K387" s="36" t="n">
        <f aca="false">H387-J387</f>
        <v>10.4</v>
      </c>
    </row>
    <row r="388" customFormat="false" ht="15" hidden="false" customHeight="false" outlineLevel="0" collapsed="false">
      <c r="A388" s="41" t="n">
        <v>46228</v>
      </c>
      <c r="B388" s="42" t="n">
        <f aca="false">DATE(YEAR(A388),MONTH(A388),1)</f>
        <v>46204</v>
      </c>
      <c r="C388" s="3" t="s">
        <v>59</v>
      </c>
      <c r="D388" s="3" t="s">
        <v>60</v>
      </c>
      <c r="E388" s="3" t="s">
        <v>27</v>
      </c>
      <c r="F388" s="3" t="n">
        <v>46</v>
      </c>
      <c r="G388" s="36" t="n">
        <v>0.6</v>
      </c>
      <c r="H388" s="36" t="n">
        <f aca="false">F388*G388</f>
        <v>27.6</v>
      </c>
      <c r="I388" s="36" t="n">
        <f aca="false">INDEX(Inventory!$D$2:$D$17,MATCH(C388,Inventory!$A$2:$A$17,0))</f>
        <v>0.3</v>
      </c>
      <c r="J388" s="36" t="n">
        <f aca="false">F388*I388</f>
        <v>13.8</v>
      </c>
      <c r="K388" s="36" t="n">
        <f aca="false">H388-J388</f>
        <v>13.8</v>
      </c>
    </row>
    <row r="389" customFormat="false" ht="15" hidden="false" customHeight="false" outlineLevel="0" collapsed="false">
      <c r="A389" s="41" t="n">
        <v>46228</v>
      </c>
      <c r="B389" s="42" t="n">
        <f aca="false">DATE(YEAR(A389),MONTH(A389),1)</f>
        <v>46204</v>
      </c>
      <c r="C389" s="3" t="s">
        <v>57</v>
      </c>
      <c r="D389" s="3" t="s">
        <v>58</v>
      </c>
      <c r="E389" s="3" t="s">
        <v>27</v>
      </c>
      <c r="F389" s="3" t="n">
        <v>18</v>
      </c>
      <c r="G389" s="36" t="n">
        <v>1.5</v>
      </c>
      <c r="H389" s="36" t="n">
        <f aca="false">F389*G389</f>
        <v>27</v>
      </c>
      <c r="I389" s="36" t="n">
        <f aca="false">INDEX(Inventory!$D$2:$D$17,MATCH(C389,Inventory!$A$2:$A$17,0))</f>
        <v>0.9</v>
      </c>
      <c r="J389" s="36" t="n">
        <f aca="false">F389*I389</f>
        <v>16.2</v>
      </c>
      <c r="K389" s="36" t="n">
        <f aca="false">H389-J389</f>
        <v>10.8</v>
      </c>
    </row>
    <row r="390" customFormat="false" ht="15" hidden="false" customHeight="false" outlineLevel="0" collapsed="false">
      <c r="A390" s="41" t="n">
        <v>46228</v>
      </c>
      <c r="B390" s="42" t="n">
        <f aca="false">DATE(YEAR(A390),MONTH(A390),1)</f>
        <v>46204</v>
      </c>
      <c r="C390" s="3" t="s">
        <v>41</v>
      </c>
      <c r="D390" s="3" t="s">
        <v>42</v>
      </c>
      <c r="E390" s="3" t="s">
        <v>28</v>
      </c>
      <c r="F390" s="3" t="n">
        <v>34</v>
      </c>
      <c r="G390" s="36" t="n">
        <v>1.3</v>
      </c>
      <c r="H390" s="36" t="n">
        <f aca="false">F390*G390</f>
        <v>44.2</v>
      </c>
      <c r="I390" s="36" t="n">
        <f aca="false">INDEX(Inventory!$D$2:$D$17,MATCH(C390,Inventory!$A$2:$A$17,0))</f>
        <v>0.8</v>
      </c>
      <c r="J390" s="36" t="n">
        <f aca="false">F390*I390</f>
        <v>27.2</v>
      </c>
      <c r="K390" s="36" t="n">
        <f aca="false">H390-J390</f>
        <v>17</v>
      </c>
    </row>
    <row r="391" customFormat="false" ht="15" hidden="false" customHeight="false" outlineLevel="0" collapsed="false">
      <c r="A391" s="41" t="n">
        <v>46228</v>
      </c>
      <c r="B391" s="42" t="n">
        <f aca="false">DATE(YEAR(A391),MONTH(A391),1)</f>
        <v>46204</v>
      </c>
      <c r="C391" s="3" t="s">
        <v>63</v>
      </c>
      <c r="D391" s="3" t="s">
        <v>64</v>
      </c>
      <c r="E391" s="3" t="s">
        <v>28</v>
      </c>
      <c r="F391" s="3" t="n">
        <v>17</v>
      </c>
      <c r="G391" s="36" t="n">
        <v>0.9</v>
      </c>
      <c r="H391" s="36" t="n">
        <f aca="false">F391*G391</f>
        <v>15.3</v>
      </c>
      <c r="I391" s="36" t="n">
        <f aca="false">INDEX(Inventory!$D$2:$D$17,MATCH(C391,Inventory!$A$2:$A$17,0))</f>
        <v>0.5</v>
      </c>
      <c r="J391" s="36" t="n">
        <f aca="false">F391*I391</f>
        <v>8.5</v>
      </c>
      <c r="K391" s="36" t="n">
        <f aca="false">H391-J391</f>
        <v>6.8</v>
      </c>
    </row>
    <row r="392" customFormat="false" ht="15" hidden="false" customHeight="false" outlineLevel="0" collapsed="false">
      <c r="A392" s="41" t="n">
        <v>46228</v>
      </c>
      <c r="B392" s="42" t="n">
        <f aca="false">DATE(YEAR(A392),MONTH(A392),1)</f>
        <v>46204</v>
      </c>
      <c r="C392" s="3" t="s">
        <v>49</v>
      </c>
      <c r="D392" s="3" t="s">
        <v>50</v>
      </c>
      <c r="E392" s="3" t="s">
        <v>28</v>
      </c>
      <c r="F392" s="3" t="n">
        <v>26</v>
      </c>
      <c r="G392" s="36" t="n">
        <v>1.2</v>
      </c>
      <c r="H392" s="36" t="n">
        <f aca="false">F392*G392</f>
        <v>31.2</v>
      </c>
      <c r="I392" s="36" t="n">
        <f aca="false">INDEX(Inventory!$D$2:$D$17,MATCH(C392,Inventory!$A$2:$A$17,0))</f>
        <v>0.7</v>
      </c>
      <c r="J392" s="36" t="n">
        <f aca="false">F392*I392</f>
        <v>18.2</v>
      </c>
      <c r="K392" s="36" t="n">
        <f aca="false">H392-J392</f>
        <v>13</v>
      </c>
    </row>
    <row r="393" customFormat="false" ht="15" hidden="false" customHeight="false" outlineLevel="0" collapsed="false">
      <c r="A393" s="41" t="n">
        <v>46228</v>
      </c>
      <c r="B393" s="42" t="n">
        <f aca="false">DATE(YEAR(A393),MONTH(A393),1)</f>
        <v>46204</v>
      </c>
      <c r="C393" s="3" t="s">
        <v>51</v>
      </c>
      <c r="D393" s="3" t="s">
        <v>52</v>
      </c>
      <c r="E393" s="3" t="s">
        <v>28</v>
      </c>
      <c r="F393" s="3" t="n">
        <v>25</v>
      </c>
      <c r="G393" s="36" t="n">
        <v>0.85</v>
      </c>
      <c r="H393" s="36" t="n">
        <f aca="false">F393*G393</f>
        <v>21.25</v>
      </c>
      <c r="I393" s="36" t="n">
        <f aca="false">INDEX(Inventory!$D$2:$D$17,MATCH(C393,Inventory!$A$2:$A$17,0))</f>
        <v>0.45</v>
      </c>
      <c r="J393" s="36" t="n">
        <f aca="false">F393*I393</f>
        <v>11.25</v>
      </c>
      <c r="K393" s="36" t="n">
        <f aca="false">H393-J393</f>
        <v>10</v>
      </c>
    </row>
    <row r="394" customFormat="false" ht="15" hidden="false" customHeight="false" outlineLevel="0" collapsed="false">
      <c r="A394" s="41" t="n">
        <v>46228</v>
      </c>
      <c r="B394" s="42" t="n">
        <f aca="false">DATE(YEAR(A394),MONTH(A394),1)</f>
        <v>46204</v>
      </c>
      <c r="C394" s="3" t="s">
        <v>37</v>
      </c>
      <c r="D394" s="3" t="s">
        <v>38</v>
      </c>
      <c r="E394" s="3" t="s">
        <v>26</v>
      </c>
      <c r="F394" s="3" t="n">
        <v>30</v>
      </c>
      <c r="G394" s="36" t="n">
        <v>1.2</v>
      </c>
      <c r="H394" s="36" t="n">
        <f aca="false">F394*G394</f>
        <v>36</v>
      </c>
      <c r="I394" s="36" t="n">
        <f aca="false">INDEX(Inventory!$D$2:$D$17,MATCH(C394,Inventory!$A$2:$A$17,0))</f>
        <v>0.85</v>
      </c>
      <c r="J394" s="36" t="n">
        <f aca="false">F394*I394</f>
        <v>25.5</v>
      </c>
      <c r="K394" s="36" t="n">
        <f aca="false">H394-J394</f>
        <v>10.5</v>
      </c>
    </row>
    <row r="395" customFormat="false" ht="15" hidden="false" customHeight="false" outlineLevel="0" collapsed="false">
      <c r="A395" s="41" t="n">
        <v>46228</v>
      </c>
      <c r="B395" s="42" t="n">
        <f aca="false">DATE(YEAR(A395),MONTH(A395),1)</f>
        <v>46204</v>
      </c>
      <c r="C395" s="3" t="s">
        <v>47</v>
      </c>
      <c r="D395" s="3" t="s">
        <v>48</v>
      </c>
      <c r="E395" s="3" t="s">
        <v>26</v>
      </c>
      <c r="F395" s="3" t="n">
        <v>16</v>
      </c>
      <c r="G395" s="36" t="n">
        <v>2.2</v>
      </c>
      <c r="H395" s="36" t="n">
        <f aca="false">F395*G395</f>
        <v>35.2</v>
      </c>
      <c r="I395" s="36" t="n">
        <f aca="false">INDEX(Inventory!$D$2:$D$17,MATCH(C395,Inventory!$A$2:$A$17,0))</f>
        <v>1.4</v>
      </c>
      <c r="J395" s="36" t="n">
        <f aca="false">F395*I395</f>
        <v>22.4</v>
      </c>
      <c r="K395" s="36" t="n">
        <f aca="false">H395-J395</f>
        <v>12.8</v>
      </c>
    </row>
    <row r="396" customFormat="false" ht="15" hidden="false" customHeight="false" outlineLevel="0" collapsed="false">
      <c r="A396" s="41" t="n">
        <v>46228</v>
      </c>
      <c r="B396" s="42" t="n">
        <f aca="false">DATE(YEAR(A396),MONTH(A396),1)</f>
        <v>46204</v>
      </c>
      <c r="C396" s="3" t="s">
        <v>43</v>
      </c>
      <c r="D396" s="3" t="s">
        <v>44</v>
      </c>
      <c r="E396" s="3" t="s">
        <v>26</v>
      </c>
      <c r="F396" s="3" t="n">
        <v>11</v>
      </c>
      <c r="G396" s="36" t="n">
        <v>3.8</v>
      </c>
      <c r="H396" s="36" t="n">
        <f aca="false">F396*G396</f>
        <v>41.8</v>
      </c>
      <c r="I396" s="36" t="n">
        <f aca="false">INDEX(Inventory!$D$2:$D$17,MATCH(C396,Inventory!$A$2:$A$17,0))</f>
        <v>2.6</v>
      </c>
      <c r="J396" s="36" t="n">
        <f aca="false">F396*I396</f>
        <v>28.6</v>
      </c>
      <c r="K396" s="36" t="n">
        <f aca="false">H396-J396</f>
        <v>13.2</v>
      </c>
    </row>
    <row r="397" customFormat="false" ht="15" hidden="false" customHeight="false" outlineLevel="0" collapsed="false">
      <c r="A397" s="41" t="n">
        <v>46228</v>
      </c>
      <c r="B397" s="42" t="n">
        <f aca="false">DATE(YEAR(A397),MONTH(A397),1)</f>
        <v>46204</v>
      </c>
      <c r="C397" s="3" t="s">
        <v>67</v>
      </c>
      <c r="D397" s="3" t="s">
        <v>68</v>
      </c>
      <c r="E397" s="3" t="s">
        <v>26</v>
      </c>
      <c r="F397" s="3" t="n">
        <v>8</v>
      </c>
      <c r="G397" s="36" t="n">
        <v>1.9</v>
      </c>
      <c r="H397" s="36" t="n">
        <f aca="false">F397*G397</f>
        <v>15.2</v>
      </c>
      <c r="I397" s="36" t="n">
        <f aca="false">INDEX(Inventory!$D$2:$D$17,MATCH(C397,Inventory!$A$2:$A$17,0))</f>
        <v>1.3</v>
      </c>
      <c r="J397" s="36" t="n">
        <f aca="false">F397*I397</f>
        <v>10.4</v>
      </c>
      <c r="K397" s="36" t="n">
        <f aca="false">H397-J397</f>
        <v>4.8</v>
      </c>
    </row>
    <row r="398" customFormat="false" ht="15" hidden="false" customHeight="false" outlineLevel="0" collapsed="false">
      <c r="A398" s="41" t="n">
        <v>46228</v>
      </c>
      <c r="B398" s="42" t="n">
        <f aca="false">DATE(YEAR(A398),MONTH(A398),1)</f>
        <v>46204</v>
      </c>
      <c r="C398" s="3" t="s">
        <v>61</v>
      </c>
      <c r="D398" s="3" t="s">
        <v>62</v>
      </c>
      <c r="E398" s="3" t="s">
        <v>29</v>
      </c>
      <c r="F398" s="3" t="n">
        <v>9</v>
      </c>
      <c r="G398" s="36" t="n">
        <v>1.9</v>
      </c>
      <c r="H398" s="36" t="n">
        <f aca="false">F398*G398</f>
        <v>17.1</v>
      </c>
      <c r="I398" s="36" t="n">
        <f aca="false">INDEX(Inventory!$D$2:$D$17,MATCH(C398,Inventory!$A$2:$A$17,0))</f>
        <v>1.1</v>
      </c>
      <c r="J398" s="36" t="n">
        <f aca="false">F398*I398</f>
        <v>9.9</v>
      </c>
      <c r="K398" s="36" t="n">
        <f aca="false">H398-J398</f>
        <v>7.2</v>
      </c>
    </row>
    <row r="399" customFormat="false" ht="15" hidden="false" customHeight="false" outlineLevel="0" collapsed="false">
      <c r="A399" s="41" t="n">
        <v>46228</v>
      </c>
      <c r="B399" s="42" t="n">
        <f aca="false">DATE(YEAR(A399),MONTH(A399),1)</f>
        <v>46204</v>
      </c>
      <c r="C399" s="3" t="s">
        <v>45</v>
      </c>
      <c r="D399" s="3" t="s">
        <v>46</v>
      </c>
      <c r="E399" s="3" t="s">
        <v>29</v>
      </c>
      <c r="F399" s="3" t="n">
        <v>7</v>
      </c>
      <c r="G399" s="36" t="n">
        <v>5.2</v>
      </c>
      <c r="H399" s="36" t="n">
        <f aca="false">F399*G399</f>
        <v>36.4</v>
      </c>
      <c r="I399" s="36" t="n">
        <f aca="false">INDEX(Inventory!$D$2:$D$17,MATCH(C399,Inventory!$A$2:$A$17,0))</f>
        <v>3.5</v>
      </c>
      <c r="J399" s="36" t="n">
        <f aca="false">F399*I399</f>
        <v>24.5</v>
      </c>
      <c r="K399" s="36" t="n">
        <f aca="false">H399-J399</f>
        <v>11.9</v>
      </c>
    </row>
    <row r="400" customFormat="false" ht="15" hidden="false" customHeight="false" outlineLevel="0" collapsed="false">
      <c r="A400" s="41" t="n">
        <v>46228</v>
      </c>
      <c r="B400" s="42" t="n">
        <f aca="false">DATE(YEAR(A400),MONTH(A400),1)</f>
        <v>46204</v>
      </c>
      <c r="C400" s="3" t="s">
        <v>65</v>
      </c>
      <c r="D400" s="3" t="s">
        <v>66</v>
      </c>
      <c r="E400" s="3" t="s">
        <v>29</v>
      </c>
      <c r="F400" s="3" t="n">
        <v>10</v>
      </c>
      <c r="G400" s="36" t="n">
        <v>1.5</v>
      </c>
      <c r="H400" s="36" t="n">
        <f aca="false">F400*G400</f>
        <v>15</v>
      </c>
      <c r="I400" s="36" t="n">
        <f aca="false">INDEX(Inventory!$D$2:$D$17,MATCH(C400,Inventory!$A$2:$A$17,0))</f>
        <v>0.9</v>
      </c>
      <c r="J400" s="36" t="n">
        <f aca="false">F400*I400</f>
        <v>9</v>
      </c>
      <c r="K400" s="36" t="n">
        <f aca="false">H400-J400</f>
        <v>6</v>
      </c>
    </row>
    <row r="401" customFormat="false" ht="15" hidden="false" customHeight="false" outlineLevel="0" collapsed="false">
      <c r="A401" s="41" t="n">
        <v>46228</v>
      </c>
      <c r="B401" s="42" t="n">
        <f aca="false">DATE(YEAR(A401),MONTH(A401),1)</f>
        <v>46204</v>
      </c>
      <c r="C401" s="3" t="s">
        <v>55</v>
      </c>
      <c r="D401" s="3" t="s">
        <v>56</v>
      </c>
      <c r="E401" s="3" t="s">
        <v>29</v>
      </c>
      <c r="F401" s="3" t="n">
        <v>8</v>
      </c>
      <c r="G401" s="36" t="n">
        <v>2.5</v>
      </c>
      <c r="H401" s="36" t="n">
        <f aca="false">F401*G401</f>
        <v>20</v>
      </c>
      <c r="I401" s="36" t="n">
        <f aca="false">INDEX(Inventory!$D$2:$D$17,MATCH(C401,Inventory!$A$2:$A$17,0))</f>
        <v>1.6</v>
      </c>
      <c r="J401" s="36" t="n">
        <f aca="false">F401*I401</f>
        <v>12.8</v>
      </c>
      <c r="K401" s="36" t="n">
        <f aca="false">H401-J401</f>
        <v>7.2</v>
      </c>
    </row>
    <row r="402" customFormat="false" ht="15" hidden="false" customHeight="false" outlineLevel="0" collapsed="false">
      <c r="A402" s="41" t="n">
        <v>46229</v>
      </c>
      <c r="B402" s="42" t="n">
        <f aca="false">DATE(YEAR(A402),MONTH(A402),1)</f>
        <v>46204</v>
      </c>
      <c r="C402" s="3" t="s">
        <v>39</v>
      </c>
      <c r="D402" s="3" t="s">
        <v>40</v>
      </c>
      <c r="E402" s="3" t="s">
        <v>27</v>
      </c>
      <c r="F402" s="3" t="n">
        <v>30</v>
      </c>
      <c r="G402" s="36" t="n">
        <v>1</v>
      </c>
      <c r="H402" s="36" t="n">
        <f aca="false">F402*G402</f>
        <v>30</v>
      </c>
      <c r="I402" s="36" t="n">
        <f aca="false">INDEX(Inventory!$D$2:$D$17,MATCH(C402,Inventory!$A$2:$A$17,0))</f>
        <v>0.6</v>
      </c>
      <c r="J402" s="36" t="n">
        <f aca="false">F402*I402</f>
        <v>18</v>
      </c>
      <c r="K402" s="36" t="n">
        <f aca="false">H402-J402</f>
        <v>12</v>
      </c>
    </row>
    <row r="403" customFormat="false" ht="15" hidden="false" customHeight="false" outlineLevel="0" collapsed="false">
      <c r="A403" s="41" t="n">
        <v>46229</v>
      </c>
      <c r="B403" s="42" t="n">
        <f aca="false">DATE(YEAR(A403),MONTH(A403),1)</f>
        <v>46204</v>
      </c>
      <c r="C403" s="3" t="s">
        <v>53</v>
      </c>
      <c r="D403" s="3" t="s">
        <v>54</v>
      </c>
      <c r="E403" s="3" t="s">
        <v>27</v>
      </c>
      <c r="F403" s="3" t="n">
        <v>25</v>
      </c>
      <c r="G403" s="36" t="n">
        <v>0.95</v>
      </c>
      <c r="H403" s="36" t="n">
        <f aca="false">F403*G403</f>
        <v>23.75</v>
      </c>
      <c r="I403" s="36" t="n">
        <f aca="false">INDEX(Inventory!$D$2:$D$17,MATCH(C403,Inventory!$A$2:$A$17,0))</f>
        <v>0.55</v>
      </c>
      <c r="J403" s="36" t="n">
        <f aca="false">F403*I403</f>
        <v>13.75</v>
      </c>
      <c r="K403" s="36" t="n">
        <f aca="false">H403-J403</f>
        <v>10</v>
      </c>
    </row>
    <row r="404" customFormat="false" ht="15" hidden="false" customHeight="false" outlineLevel="0" collapsed="false">
      <c r="A404" s="41" t="n">
        <v>46229</v>
      </c>
      <c r="B404" s="42" t="n">
        <f aca="false">DATE(YEAR(A404),MONTH(A404),1)</f>
        <v>46204</v>
      </c>
      <c r="C404" s="3" t="s">
        <v>59</v>
      </c>
      <c r="D404" s="3" t="s">
        <v>60</v>
      </c>
      <c r="E404" s="3" t="s">
        <v>27</v>
      </c>
      <c r="F404" s="3" t="n">
        <v>23</v>
      </c>
      <c r="G404" s="36" t="n">
        <v>0.6</v>
      </c>
      <c r="H404" s="36" t="n">
        <f aca="false">F404*G404</f>
        <v>13.8</v>
      </c>
      <c r="I404" s="36" t="n">
        <f aca="false">INDEX(Inventory!$D$2:$D$17,MATCH(C404,Inventory!$A$2:$A$17,0))</f>
        <v>0.3</v>
      </c>
      <c r="J404" s="36" t="n">
        <f aca="false">F404*I404</f>
        <v>6.9</v>
      </c>
      <c r="K404" s="36" t="n">
        <f aca="false">H404-J404</f>
        <v>6.9</v>
      </c>
    </row>
    <row r="405" customFormat="false" ht="15" hidden="false" customHeight="false" outlineLevel="0" collapsed="false">
      <c r="A405" s="41" t="n">
        <v>46229</v>
      </c>
      <c r="B405" s="42" t="n">
        <f aca="false">DATE(YEAR(A405),MONTH(A405),1)</f>
        <v>46204</v>
      </c>
      <c r="C405" s="3" t="s">
        <v>57</v>
      </c>
      <c r="D405" s="3" t="s">
        <v>58</v>
      </c>
      <c r="E405" s="3" t="s">
        <v>27</v>
      </c>
      <c r="F405" s="3" t="n">
        <v>17</v>
      </c>
      <c r="G405" s="36" t="n">
        <v>1.5</v>
      </c>
      <c r="H405" s="36" t="n">
        <f aca="false">F405*G405</f>
        <v>25.5</v>
      </c>
      <c r="I405" s="36" t="n">
        <f aca="false">INDEX(Inventory!$D$2:$D$17,MATCH(C405,Inventory!$A$2:$A$17,0))</f>
        <v>0.9</v>
      </c>
      <c r="J405" s="36" t="n">
        <f aca="false">F405*I405</f>
        <v>15.3</v>
      </c>
      <c r="K405" s="36" t="n">
        <f aca="false">H405-J405</f>
        <v>10.2</v>
      </c>
    </row>
    <row r="406" customFormat="false" ht="15" hidden="false" customHeight="false" outlineLevel="0" collapsed="false">
      <c r="A406" s="41" t="n">
        <v>46229</v>
      </c>
      <c r="B406" s="42" t="n">
        <f aca="false">DATE(YEAR(A406),MONTH(A406),1)</f>
        <v>46204</v>
      </c>
      <c r="C406" s="3" t="s">
        <v>41</v>
      </c>
      <c r="D406" s="3" t="s">
        <v>42</v>
      </c>
      <c r="E406" s="3" t="s">
        <v>28</v>
      </c>
      <c r="F406" s="3" t="n">
        <v>27</v>
      </c>
      <c r="G406" s="36" t="n">
        <v>1.3</v>
      </c>
      <c r="H406" s="36" t="n">
        <f aca="false">F406*G406</f>
        <v>35.1</v>
      </c>
      <c r="I406" s="36" t="n">
        <f aca="false">INDEX(Inventory!$D$2:$D$17,MATCH(C406,Inventory!$A$2:$A$17,0))</f>
        <v>0.8</v>
      </c>
      <c r="J406" s="36" t="n">
        <f aca="false">F406*I406</f>
        <v>21.6</v>
      </c>
      <c r="K406" s="36" t="n">
        <f aca="false">H406-J406</f>
        <v>13.5</v>
      </c>
    </row>
    <row r="407" customFormat="false" ht="15" hidden="false" customHeight="false" outlineLevel="0" collapsed="false">
      <c r="A407" s="41" t="n">
        <v>46229</v>
      </c>
      <c r="B407" s="42" t="n">
        <f aca="false">DATE(YEAR(A407),MONTH(A407),1)</f>
        <v>46204</v>
      </c>
      <c r="C407" s="3" t="s">
        <v>63</v>
      </c>
      <c r="D407" s="3" t="s">
        <v>64</v>
      </c>
      <c r="E407" s="3" t="s">
        <v>28</v>
      </c>
      <c r="F407" s="3" t="n">
        <v>16</v>
      </c>
      <c r="G407" s="36" t="n">
        <v>0.9</v>
      </c>
      <c r="H407" s="36" t="n">
        <f aca="false">F407*G407</f>
        <v>14.4</v>
      </c>
      <c r="I407" s="36" t="n">
        <f aca="false">INDEX(Inventory!$D$2:$D$17,MATCH(C407,Inventory!$A$2:$A$17,0))</f>
        <v>0.5</v>
      </c>
      <c r="J407" s="36" t="n">
        <f aca="false">F407*I407</f>
        <v>8</v>
      </c>
      <c r="K407" s="36" t="n">
        <f aca="false">H407-J407</f>
        <v>6.4</v>
      </c>
    </row>
    <row r="408" customFormat="false" ht="15" hidden="false" customHeight="false" outlineLevel="0" collapsed="false">
      <c r="A408" s="41" t="n">
        <v>46229</v>
      </c>
      <c r="B408" s="42" t="n">
        <f aca="false">DATE(YEAR(A408),MONTH(A408),1)</f>
        <v>46204</v>
      </c>
      <c r="C408" s="3" t="s">
        <v>49</v>
      </c>
      <c r="D408" s="3" t="s">
        <v>50</v>
      </c>
      <c r="E408" s="3" t="s">
        <v>28</v>
      </c>
      <c r="F408" s="3" t="n">
        <v>25</v>
      </c>
      <c r="G408" s="36" t="n">
        <v>1.2</v>
      </c>
      <c r="H408" s="36" t="n">
        <f aca="false">F408*G408</f>
        <v>30</v>
      </c>
      <c r="I408" s="36" t="n">
        <f aca="false">INDEX(Inventory!$D$2:$D$17,MATCH(C408,Inventory!$A$2:$A$17,0))</f>
        <v>0.7</v>
      </c>
      <c r="J408" s="36" t="n">
        <f aca="false">F408*I408</f>
        <v>17.5</v>
      </c>
      <c r="K408" s="36" t="n">
        <f aca="false">H408-J408</f>
        <v>12.5</v>
      </c>
    </row>
    <row r="409" customFormat="false" ht="15" hidden="false" customHeight="false" outlineLevel="0" collapsed="false">
      <c r="A409" s="41" t="n">
        <v>46229</v>
      </c>
      <c r="B409" s="42" t="n">
        <f aca="false">DATE(YEAR(A409),MONTH(A409),1)</f>
        <v>46204</v>
      </c>
      <c r="C409" s="3" t="s">
        <v>51</v>
      </c>
      <c r="D409" s="3" t="s">
        <v>52</v>
      </c>
      <c r="E409" s="3" t="s">
        <v>28</v>
      </c>
      <c r="F409" s="3" t="n">
        <v>32</v>
      </c>
      <c r="G409" s="36" t="n">
        <v>0.85</v>
      </c>
      <c r="H409" s="36" t="n">
        <f aca="false">F409*G409</f>
        <v>27.2</v>
      </c>
      <c r="I409" s="36" t="n">
        <f aca="false">INDEX(Inventory!$D$2:$D$17,MATCH(C409,Inventory!$A$2:$A$17,0))</f>
        <v>0.45</v>
      </c>
      <c r="J409" s="36" t="n">
        <f aca="false">F409*I409</f>
        <v>14.4</v>
      </c>
      <c r="K409" s="36" t="n">
        <f aca="false">H409-J409</f>
        <v>12.8</v>
      </c>
    </row>
    <row r="410" customFormat="false" ht="15" hidden="false" customHeight="false" outlineLevel="0" collapsed="false">
      <c r="A410" s="41" t="n">
        <v>46229</v>
      </c>
      <c r="B410" s="42" t="n">
        <f aca="false">DATE(YEAR(A410),MONTH(A410),1)</f>
        <v>46204</v>
      </c>
      <c r="C410" s="3" t="s">
        <v>37</v>
      </c>
      <c r="D410" s="3" t="s">
        <v>38</v>
      </c>
      <c r="E410" s="3" t="s">
        <v>26</v>
      </c>
      <c r="F410" s="3" t="n">
        <v>28</v>
      </c>
      <c r="G410" s="36" t="n">
        <v>1.2</v>
      </c>
      <c r="H410" s="36" t="n">
        <f aca="false">F410*G410</f>
        <v>33.6</v>
      </c>
      <c r="I410" s="36" t="n">
        <f aca="false">INDEX(Inventory!$D$2:$D$17,MATCH(C410,Inventory!$A$2:$A$17,0))</f>
        <v>0.85</v>
      </c>
      <c r="J410" s="36" t="n">
        <f aca="false">F410*I410</f>
        <v>23.8</v>
      </c>
      <c r="K410" s="36" t="n">
        <f aca="false">H410-J410</f>
        <v>9.8</v>
      </c>
    </row>
    <row r="411" customFormat="false" ht="15" hidden="false" customHeight="false" outlineLevel="0" collapsed="false">
      <c r="A411" s="41" t="n">
        <v>46229</v>
      </c>
      <c r="B411" s="42" t="n">
        <f aca="false">DATE(YEAR(A411),MONTH(A411),1)</f>
        <v>46204</v>
      </c>
      <c r="C411" s="3" t="s">
        <v>47</v>
      </c>
      <c r="D411" s="3" t="s">
        <v>48</v>
      </c>
      <c r="E411" s="3" t="s">
        <v>26</v>
      </c>
      <c r="F411" s="3" t="n">
        <v>11</v>
      </c>
      <c r="G411" s="36" t="n">
        <v>2.2</v>
      </c>
      <c r="H411" s="36" t="n">
        <f aca="false">F411*G411</f>
        <v>24.2</v>
      </c>
      <c r="I411" s="36" t="n">
        <f aca="false">INDEX(Inventory!$D$2:$D$17,MATCH(C411,Inventory!$A$2:$A$17,0))</f>
        <v>1.4</v>
      </c>
      <c r="J411" s="36" t="n">
        <f aca="false">F411*I411</f>
        <v>15.4</v>
      </c>
      <c r="K411" s="36" t="n">
        <f aca="false">H411-J411</f>
        <v>8.8</v>
      </c>
    </row>
    <row r="412" customFormat="false" ht="15" hidden="false" customHeight="false" outlineLevel="0" collapsed="false">
      <c r="A412" s="41" t="n">
        <v>46229</v>
      </c>
      <c r="B412" s="42" t="n">
        <f aca="false">DATE(YEAR(A412),MONTH(A412),1)</f>
        <v>46204</v>
      </c>
      <c r="C412" s="3" t="s">
        <v>43</v>
      </c>
      <c r="D412" s="3" t="s">
        <v>44</v>
      </c>
      <c r="E412" s="3" t="s">
        <v>26</v>
      </c>
      <c r="F412" s="3" t="n">
        <v>10</v>
      </c>
      <c r="G412" s="36" t="n">
        <v>3.8</v>
      </c>
      <c r="H412" s="36" t="n">
        <f aca="false">F412*G412</f>
        <v>38</v>
      </c>
      <c r="I412" s="36" t="n">
        <f aca="false">INDEX(Inventory!$D$2:$D$17,MATCH(C412,Inventory!$A$2:$A$17,0))</f>
        <v>2.6</v>
      </c>
      <c r="J412" s="36" t="n">
        <f aca="false">F412*I412</f>
        <v>26</v>
      </c>
      <c r="K412" s="36" t="n">
        <f aca="false">H412-J412</f>
        <v>12</v>
      </c>
    </row>
    <row r="413" customFormat="false" ht="15" hidden="false" customHeight="false" outlineLevel="0" collapsed="false">
      <c r="A413" s="41" t="n">
        <v>46229</v>
      </c>
      <c r="B413" s="42" t="n">
        <f aca="false">DATE(YEAR(A413),MONTH(A413),1)</f>
        <v>46204</v>
      </c>
      <c r="C413" s="3" t="s">
        <v>67</v>
      </c>
      <c r="D413" s="3" t="s">
        <v>68</v>
      </c>
      <c r="E413" s="3" t="s">
        <v>26</v>
      </c>
      <c r="F413" s="3" t="n">
        <v>6</v>
      </c>
      <c r="G413" s="36" t="n">
        <v>1.9</v>
      </c>
      <c r="H413" s="36" t="n">
        <f aca="false">F413*G413</f>
        <v>11.4</v>
      </c>
      <c r="I413" s="36" t="n">
        <f aca="false">INDEX(Inventory!$D$2:$D$17,MATCH(C413,Inventory!$A$2:$A$17,0))</f>
        <v>1.3</v>
      </c>
      <c r="J413" s="36" t="n">
        <f aca="false">F413*I413</f>
        <v>7.8</v>
      </c>
      <c r="K413" s="36" t="n">
        <f aca="false">H413-J413</f>
        <v>3.6</v>
      </c>
    </row>
    <row r="414" customFormat="false" ht="15" hidden="false" customHeight="false" outlineLevel="0" collapsed="false">
      <c r="A414" s="41" t="n">
        <v>46229</v>
      </c>
      <c r="B414" s="42" t="n">
        <f aca="false">DATE(YEAR(A414),MONTH(A414),1)</f>
        <v>46204</v>
      </c>
      <c r="C414" s="3" t="s">
        <v>61</v>
      </c>
      <c r="D414" s="3" t="s">
        <v>62</v>
      </c>
      <c r="E414" s="3" t="s">
        <v>29</v>
      </c>
      <c r="F414" s="3" t="n">
        <v>11</v>
      </c>
      <c r="G414" s="36" t="n">
        <v>1.9</v>
      </c>
      <c r="H414" s="36" t="n">
        <f aca="false">F414*G414</f>
        <v>20.9</v>
      </c>
      <c r="I414" s="36" t="n">
        <f aca="false">INDEX(Inventory!$D$2:$D$17,MATCH(C414,Inventory!$A$2:$A$17,0))</f>
        <v>1.1</v>
      </c>
      <c r="J414" s="36" t="n">
        <f aca="false">F414*I414</f>
        <v>12.1</v>
      </c>
      <c r="K414" s="36" t="n">
        <f aca="false">H414-J414</f>
        <v>8.8</v>
      </c>
    </row>
    <row r="415" customFormat="false" ht="15" hidden="false" customHeight="false" outlineLevel="0" collapsed="false">
      <c r="A415" s="41" t="n">
        <v>46229</v>
      </c>
      <c r="B415" s="42" t="n">
        <f aca="false">DATE(YEAR(A415),MONTH(A415),1)</f>
        <v>46204</v>
      </c>
      <c r="C415" s="3" t="s">
        <v>45</v>
      </c>
      <c r="D415" s="3" t="s">
        <v>46</v>
      </c>
      <c r="E415" s="3" t="s">
        <v>29</v>
      </c>
      <c r="F415" s="3" t="n">
        <v>6</v>
      </c>
      <c r="G415" s="36" t="n">
        <v>5.2</v>
      </c>
      <c r="H415" s="36" t="n">
        <f aca="false">F415*G415</f>
        <v>31.2</v>
      </c>
      <c r="I415" s="36" t="n">
        <f aca="false">INDEX(Inventory!$D$2:$D$17,MATCH(C415,Inventory!$A$2:$A$17,0))</f>
        <v>3.5</v>
      </c>
      <c r="J415" s="36" t="n">
        <f aca="false">F415*I415</f>
        <v>21</v>
      </c>
      <c r="K415" s="36" t="n">
        <f aca="false">H415-J415</f>
        <v>10.2</v>
      </c>
    </row>
    <row r="416" customFormat="false" ht="15" hidden="false" customHeight="false" outlineLevel="0" collapsed="false">
      <c r="A416" s="41" t="n">
        <v>46229</v>
      </c>
      <c r="B416" s="42" t="n">
        <f aca="false">DATE(YEAR(A416),MONTH(A416),1)</f>
        <v>46204</v>
      </c>
      <c r="C416" s="3" t="s">
        <v>65</v>
      </c>
      <c r="D416" s="3" t="s">
        <v>66</v>
      </c>
      <c r="E416" s="3" t="s">
        <v>29</v>
      </c>
      <c r="F416" s="3" t="n">
        <v>11</v>
      </c>
      <c r="G416" s="36" t="n">
        <v>1.5</v>
      </c>
      <c r="H416" s="36" t="n">
        <f aca="false">F416*G416</f>
        <v>16.5</v>
      </c>
      <c r="I416" s="36" t="n">
        <f aca="false">INDEX(Inventory!$D$2:$D$17,MATCH(C416,Inventory!$A$2:$A$17,0))</f>
        <v>0.9</v>
      </c>
      <c r="J416" s="36" t="n">
        <f aca="false">F416*I416</f>
        <v>9.9</v>
      </c>
      <c r="K416" s="36" t="n">
        <f aca="false">H416-J416</f>
        <v>6.6</v>
      </c>
    </row>
    <row r="417" customFormat="false" ht="15" hidden="false" customHeight="false" outlineLevel="0" collapsed="false">
      <c r="A417" s="41" t="n">
        <v>46229</v>
      </c>
      <c r="B417" s="42" t="n">
        <f aca="false">DATE(YEAR(A417),MONTH(A417),1)</f>
        <v>46204</v>
      </c>
      <c r="C417" s="3" t="s">
        <v>55</v>
      </c>
      <c r="D417" s="3" t="s">
        <v>56</v>
      </c>
      <c r="E417" s="3" t="s">
        <v>29</v>
      </c>
      <c r="F417" s="3" t="n">
        <v>9</v>
      </c>
      <c r="G417" s="36" t="n">
        <v>2.5</v>
      </c>
      <c r="H417" s="36" t="n">
        <f aca="false">F417*G417</f>
        <v>22.5</v>
      </c>
      <c r="I417" s="36" t="n">
        <f aca="false">INDEX(Inventory!$D$2:$D$17,MATCH(C417,Inventory!$A$2:$A$17,0))</f>
        <v>1.6</v>
      </c>
      <c r="J417" s="36" t="n">
        <f aca="false">F417*I417</f>
        <v>14.4</v>
      </c>
      <c r="K417" s="36" t="n">
        <f aca="false">H417-J417</f>
        <v>8.1</v>
      </c>
    </row>
    <row r="418" customFormat="false" ht="15" hidden="false" customHeight="false" outlineLevel="0" collapsed="false">
      <c r="A418" s="41" t="n">
        <v>46230</v>
      </c>
      <c r="B418" s="42" t="n">
        <f aca="false">DATE(YEAR(A418),MONTH(A418),1)</f>
        <v>46204</v>
      </c>
      <c r="C418" s="3" t="s">
        <v>39</v>
      </c>
      <c r="D418" s="3" t="s">
        <v>40</v>
      </c>
      <c r="E418" s="3" t="s">
        <v>27</v>
      </c>
      <c r="F418" s="3" t="n">
        <v>26</v>
      </c>
      <c r="G418" s="36" t="n">
        <v>1</v>
      </c>
      <c r="H418" s="36" t="n">
        <f aca="false">F418*G418</f>
        <v>26</v>
      </c>
      <c r="I418" s="36" t="n">
        <f aca="false">INDEX(Inventory!$D$2:$D$17,MATCH(C418,Inventory!$A$2:$A$17,0))</f>
        <v>0.6</v>
      </c>
      <c r="J418" s="36" t="n">
        <f aca="false">F418*I418</f>
        <v>15.6</v>
      </c>
      <c r="K418" s="36" t="n">
        <f aca="false">H418-J418</f>
        <v>10.4</v>
      </c>
    </row>
    <row r="419" customFormat="false" ht="15" hidden="false" customHeight="false" outlineLevel="0" collapsed="false">
      <c r="A419" s="41" t="n">
        <v>46230</v>
      </c>
      <c r="B419" s="42" t="n">
        <f aca="false">DATE(YEAR(A419),MONTH(A419),1)</f>
        <v>46204</v>
      </c>
      <c r="C419" s="3" t="s">
        <v>53</v>
      </c>
      <c r="D419" s="3" t="s">
        <v>54</v>
      </c>
      <c r="E419" s="3" t="s">
        <v>27</v>
      </c>
      <c r="F419" s="3" t="n">
        <v>23</v>
      </c>
      <c r="G419" s="36" t="n">
        <v>0.95</v>
      </c>
      <c r="H419" s="36" t="n">
        <f aca="false">F419*G419</f>
        <v>21.85</v>
      </c>
      <c r="I419" s="36" t="n">
        <f aca="false">INDEX(Inventory!$D$2:$D$17,MATCH(C419,Inventory!$A$2:$A$17,0))</f>
        <v>0.55</v>
      </c>
      <c r="J419" s="36" t="n">
        <f aca="false">F419*I419</f>
        <v>12.65</v>
      </c>
      <c r="K419" s="36" t="n">
        <f aca="false">H419-J419</f>
        <v>9.2</v>
      </c>
    </row>
    <row r="420" customFormat="false" ht="15" hidden="false" customHeight="false" outlineLevel="0" collapsed="false">
      <c r="A420" s="41" t="n">
        <v>46230</v>
      </c>
      <c r="B420" s="42" t="n">
        <f aca="false">DATE(YEAR(A420),MONTH(A420),1)</f>
        <v>46204</v>
      </c>
      <c r="C420" s="3" t="s">
        <v>59</v>
      </c>
      <c r="D420" s="3" t="s">
        <v>60</v>
      </c>
      <c r="E420" s="3" t="s">
        <v>27</v>
      </c>
      <c r="F420" s="3" t="n">
        <v>32</v>
      </c>
      <c r="G420" s="36" t="n">
        <v>0.6</v>
      </c>
      <c r="H420" s="36" t="n">
        <f aca="false">F420*G420</f>
        <v>19.2</v>
      </c>
      <c r="I420" s="36" t="n">
        <f aca="false">INDEX(Inventory!$D$2:$D$17,MATCH(C420,Inventory!$A$2:$A$17,0))</f>
        <v>0.3</v>
      </c>
      <c r="J420" s="36" t="n">
        <f aca="false">F420*I420</f>
        <v>9.6</v>
      </c>
      <c r="K420" s="36" t="n">
        <f aca="false">H420-J420</f>
        <v>9.6</v>
      </c>
    </row>
    <row r="421" customFormat="false" ht="15" hidden="false" customHeight="false" outlineLevel="0" collapsed="false">
      <c r="A421" s="41" t="n">
        <v>46230</v>
      </c>
      <c r="B421" s="42" t="n">
        <f aca="false">DATE(YEAR(A421),MONTH(A421),1)</f>
        <v>46204</v>
      </c>
      <c r="C421" s="3" t="s">
        <v>57</v>
      </c>
      <c r="D421" s="3" t="s">
        <v>58</v>
      </c>
      <c r="E421" s="3" t="s">
        <v>27</v>
      </c>
      <c r="F421" s="3" t="n">
        <v>11</v>
      </c>
      <c r="G421" s="36" t="n">
        <v>1.5</v>
      </c>
      <c r="H421" s="36" t="n">
        <f aca="false">F421*G421</f>
        <v>16.5</v>
      </c>
      <c r="I421" s="36" t="n">
        <f aca="false">INDEX(Inventory!$D$2:$D$17,MATCH(C421,Inventory!$A$2:$A$17,0))</f>
        <v>0.9</v>
      </c>
      <c r="J421" s="36" t="n">
        <f aca="false">F421*I421</f>
        <v>9.9</v>
      </c>
      <c r="K421" s="36" t="n">
        <f aca="false">H421-J421</f>
        <v>6.6</v>
      </c>
    </row>
    <row r="422" customFormat="false" ht="15" hidden="false" customHeight="false" outlineLevel="0" collapsed="false">
      <c r="A422" s="41" t="n">
        <v>46230</v>
      </c>
      <c r="B422" s="42" t="n">
        <f aca="false">DATE(YEAR(A422),MONTH(A422),1)</f>
        <v>46204</v>
      </c>
      <c r="C422" s="3" t="s">
        <v>41</v>
      </c>
      <c r="D422" s="3" t="s">
        <v>42</v>
      </c>
      <c r="E422" s="3" t="s">
        <v>28</v>
      </c>
      <c r="F422" s="3" t="n">
        <v>14</v>
      </c>
      <c r="G422" s="36" t="n">
        <v>1.3</v>
      </c>
      <c r="H422" s="36" t="n">
        <f aca="false">F422*G422</f>
        <v>18.2</v>
      </c>
      <c r="I422" s="36" t="n">
        <f aca="false">INDEX(Inventory!$D$2:$D$17,MATCH(C422,Inventory!$A$2:$A$17,0))</f>
        <v>0.8</v>
      </c>
      <c r="J422" s="36" t="n">
        <f aca="false">F422*I422</f>
        <v>11.2</v>
      </c>
      <c r="K422" s="36" t="n">
        <f aca="false">H422-J422</f>
        <v>7</v>
      </c>
    </row>
    <row r="423" customFormat="false" ht="15" hidden="false" customHeight="false" outlineLevel="0" collapsed="false">
      <c r="A423" s="41" t="n">
        <v>46230</v>
      </c>
      <c r="B423" s="42" t="n">
        <f aca="false">DATE(YEAR(A423),MONTH(A423),1)</f>
        <v>46204</v>
      </c>
      <c r="C423" s="3" t="s">
        <v>63</v>
      </c>
      <c r="D423" s="3" t="s">
        <v>64</v>
      </c>
      <c r="E423" s="3" t="s">
        <v>28</v>
      </c>
      <c r="F423" s="3" t="n">
        <v>17</v>
      </c>
      <c r="G423" s="36" t="n">
        <v>0.9</v>
      </c>
      <c r="H423" s="36" t="n">
        <f aca="false">F423*G423</f>
        <v>15.3</v>
      </c>
      <c r="I423" s="36" t="n">
        <f aca="false">INDEX(Inventory!$D$2:$D$17,MATCH(C423,Inventory!$A$2:$A$17,0))</f>
        <v>0.5</v>
      </c>
      <c r="J423" s="36" t="n">
        <f aca="false">F423*I423</f>
        <v>8.5</v>
      </c>
      <c r="K423" s="36" t="n">
        <f aca="false">H423-J423</f>
        <v>6.8</v>
      </c>
    </row>
    <row r="424" customFormat="false" ht="15" hidden="false" customHeight="false" outlineLevel="0" collapsed="false">
      <c r="A424" s="41" t="n">
        <v>46230</v>
      </c>
      <c r="B424" s="42" t="n">
        <f aca="false">DATE(YEAR(A424),MONTH(A424),1)</f>
        <v>46204</v>
      </c>
      <c r="C424" s="3" t="s">
        <v>49</v>
      </c>
      <c r="D424" s="3" t="s">
        <v>50</v>
      </c>
      <c r="E424" s="3" t="s">
        <v>28</v>
      </c>
      <c r="F424" s="3" t="n">
        <v>18</v>
      </c>
      <c r="G424" s="36" t="n">
        <v>1.2</v>
      </c>
      <c r="H424" s="36" t="n">
        <f aca="false">F424*G424</f>
        <v>21.6</v>
      </c>
      <c r="I424" s="36" t="n">
        <f aca="false">INDEX(Inventory!$D$2:$D$17,MATCH(C424,Inventory!$A$2:$A$17,0))</f>
        <v>0.7</v>
      </c>
      <c r="J424" s="36" t="n">
        <f aca="false">F424*I424</f>
        <v>12.6</v>
      </c>
      <c r="K424" s="36" t="n">
        <f aca="false">H424-J424</f>
        <v>9</v>
      </c>
    </row>
    <row r="425" customFormat="false" ht="15" hidden="false" customHeight="false" outlineLevel="0" collapsed="false">
      <c r="A425" s="41" t="n">
        <v>46230</v>
      </c>
      <c r="B425" s="42" t="n">
        <f aca="false">DATE(YEAR(A425),MONTH(A425),1)</f>
        <v>46204</v>
      </c>
      <c r="C425" s="3" t="s">
        <v>51</v>
      </c>
      <c r="D425" s="3" t="s">
        <v>52</v>
      </c>
      <c r="E425" s="3" t="s">
        <v>28</v>
      </c>
      <c r="F425" s="3" t="n">
        <v>30</v>
      </c>
      <c r="G425" s="36" t="n">
        <v>0.85</v>
      </c>
      <c r="H425" s="36" t="n">
        <f aca="false">F425*G425</f>
        <v>25.5</v>
      </c>
      <c r="I425" s="36" t="n">
        <f aca="false">INDEX(Inventory!$D$2:$D$17,MATCH(C425,Inventory!$A$2:$A$17,0))</f>
        <v>0.45</v>
      </c>
      <c r="J425" s="36" t="n">
        <f aca="false">F425*I425</f>
        <v>13.5</v>
      </c>
      <c r="K425" s="36" t="n">
        <f aca="false">H425-J425</f>
        <v>12</v>
      </c>
    </row>
    <row r="426" customFormat="false" ht="15" hidden="false" customHeight="false" outlineLevel="0" collapsed="false">
      <c r="A426" s="41" t="n">
        <v>46230</v>
      </c>
      <c r="B426" s="42" t="n">
        <f aca="false">DATE(YEAR(A426),MONTH(A426),1)</f>
        <v>46204</v>
      </c>
      <c r="C426" s="3" t="s">
        <v>37</v>
      </c>
      <c r="D426" s="3" t="s">
        <v>38</v>
      </c>
      <c r="E426" s="3" t="s">
        <v>26</v>
      </c>
      <c r="F426" s="3" t="n">
        <v>20</v>
      </c>
      <c r="G426" s="36" t="n">
        <v>1.2</v>
      </c>
      <c r="H426" s="36" t="n">
        <f aca="false">F426*G426</f>
        <v>24</v>
      </c>
      <c r="I426" s="36" t="n">
        <f aca="false">INDEX(Inventory!$D$2:$D$17,MATCH(C426,Inventory!$A$2:$A$17,0))</f>
        <v>0.85</v>
      </c>
      <c r="J426" s="36" t="n">
        <f aca="false">F426*I426</f>
        <v>17</v>
      </c>
      <c r="K426" s="36" t="n">
        <f aca="false">H426-J426</f>
        <v>7</v>
      </c>
    </row>
    <row r="427" customFormat="false" ht="15" hidden="false" customHeight="false" outlineLevel="0" collapsed="false">
      <c r="A427" s="41" t="n">
        <v>46230</v>
      </c>
      <c r="B427" s="42" t="n">
        <f aca="false">DATE(YEAR(A427),MONTH(A427),1)</f>
        <v>46204</v>
      </c>
      <c r="C427" s="3" t="s">
        <v>47</v>
      </c>
      <c r="D427" s="3" t="s">
        <v>48</v>
      </c>
      <c r="E427" s="3" t="s">
        <v>26</v>
      </c>
      <c r="F427" s="3" t="n">
        <v>10</v>
      </c>
      <c r="G427" s="36" t="n">
        <v>2.2</v>
      </c>
      <c r="H427" s="36" t="n">
        <f aca="false">F427*G427</f>
        <v>22</v>
      </c>
      <c r="I427" s="36" t="n">
        <f aca="false">INDEX(Inventory!$D$2:$D$17,MATCH(C427,Inventory!$A$2:$A$17,0))</f>
        <v>1.4</v>
      </c>
      <c r="J427" s="36" t="n">
        <f aca="false">F427*I427</f>
        <v>14</v>
      </c>
      <c r="K427" s="36" t="n">
        <f aca="false">H427-J427</f>
        <v>8</v>
      </c>
    </row>
    <row r="428" customFormat="false" ht="15" hidden="false" customHeight="false" outlineLevel="0" collapsed="false">
      <c r="A428" s="41" t="n">
        <v>46230</v>
      </c>
      <c r="B428" s="42" t="n">
        <f aca="false">DATE(YEAR(A428),MONTH(A428),1)</f>
        <v>46204</v>
      </c>
      <c r="C428" s="3" t="s">
        <v>43</v>
      </c>
      <c r="D428" s="3" t="s">
        <v>44</v>
      </c>
      <c r="E428" s="3" t="s">
        <v>26</v>
      </c>
      <c r="F428" s="3" t="n">
        <v>7</v>
      </c>
      <c r="G428" s="36" t="n">
        <v>3.8</v>
      </c>
      <c r="H428" s="36" t="n">
        <f aca="false">F428*G428</f>
        <v>26.6</v>
      </c>
      <c r="I428" s="36" t="n">
        <f aca="false">INDEX(Inventory!$D$2:$D$17,MATCH(C428,Inventory!$A$2:$A$17,0))</f>
        <v>2.6</v>
      </c>
      <c r="J428" s="36" t="n">
        <f aca="false">F428*I428</f>
        <v>18.2</v>
      </c>
      <c r="K428" s="36" t="n">
        <f aca="false">H428-J428</f>
        <v>8.4</v>
      </c>
    </row>
    <row r="429" customFormat="false" ht="15" hidden="false" customHeight="false" outlineLevel="0" collapsed="false">
      <c r="A429" s="41" t="n">
        <v>46230</v>
      </c>
      <c r="B429" s="42" t="n">
        <f aca="false">DATE(YEAR(A429),MONTH(A429),1)</f>
        <v>46204</v>
      </c>
      <c r="C429" s="3" t="s">
        <v>67</v>
      </c>
      <c r="D429" s="3" t="s">
        <v>68</v>
      </c>
      <c r="E429" s="3" t="s">
        <v>26</v>
      </c>
      <c r="F429" s="3" t="n">
        <v>6</v>
      </c>
      <c r="G429" s="36" t="n">
        <v>1.9</v>
      </c>
      <c r="H429" s="36" t="n">
        <f aca="false">F429*G429</f>
        <v>11.4</v>
      </c>
      <c r="I429" s="36" t="n">
        <f aca="false">INDEX(Inventory!$D$2:$D$17,MATCH(C429,Inventory!$A$2:$A$17,0))</f>
        <v>1.3</v>
      </c>
      <c r="J429" s="36" t="n">
        <f aca="false">F429*I429</f>
        <v>7.8</v>
      </c>
      <c r="K429" s="36" t="n">
        <f aca="false">H429-J429</f>
        <v>3.6</v>
      </c>
    </row>
    <row r="430" customFormat="false" ht="15" hidden="false" customHeight="false" outlineLevel="0" collapsed="false">
      <c r="A430" s="41" t="n">
        <v>46230</v>
      </c>
      <c r="B430" s="42" t="n">
        <f aca="false">DATE(YEAR(A430),MONTH(A430),1)</f>
        <v>46204</v>
      </c>
      <c r="C430" s="3" t="s">
        <v>61</v>
      </c>
      <c r="D430" s="3" t="s">
        <v>62</v>
      </c>
      <c r="E430" s="3" t="s">
        <v>29</v>
      </c>
      <c r="F430" s="3" t="n">
        <v>9</v>
      </c>
      <c r="G430" s="36" t="n">
        <v>1.9</v>
      </c>
      <c r="H430" s="36" t="n">
        <f aca="false">F430*G430</f>
        <v>17.1</v>
      </c>
      <c r="I430" s="36" t="n">
        <f aca="false">INDEX(Inventory!$D$2:$D$17,MATCH(C430,Inventory!$A$2:$A$17,0))</f>
        <v>1.1</v>
      </c>
      <c r="J430" s="36" t="n">
        <f aca="false">F430*I430</f>
        <v>9.9</v>
      </c>
      <c r="K430" s="36" t="n">
        <f aca="false">H430-J430</f>
        <v>7.2</v>
      </c>
    </row>
    <row r="431" customFormat="false" ht="15" hidden="false" customHeight="false" outlineLevel="0" collapsed="false">
      <c r="A431" s="41" t="n">
        <v>46230</v>
      </c>
      <c r="B431" s="42" t="n">
        <f aca="false">DATE(YEAR(A431),MONTH(A431),1)</f>
        <v>46204</v>
      </c>
      <c r="C431" s="3" t="s">
        <v>45</v>
      </c>
      <c r="D431" s="3" t="s">
        <v>46</v>
      </c>
      <c r="E431" s="3" t="s">
        <v>29</v>
      </c>
      <c r="F431" s="3" t="n">
        <v>3</v>
      </c>
      <c r="G431" s="36" t="n">
        <v>5.2</v>
      </c>
      <c r="H431" s="36" t="n">
        <f aca="false">F431*G431</f>
        <v>15.6</v>
      </c>
      <c r="I431" s="36" t="n">
        <f aca="false">INDEX(Inventory!$D$2:$D$17,MATCH(C431,Inventory!$A$2:$A$17,0))</f>
        <v>3.5</v>
      </c>
      <c r="J431" s="36" t="n">
        <f aca="false">F431*I431</f>
        <v>10.5</v>
      </c>
      <c r="K431" s="36" t="n">
        <f aca="false">H431-J431</f>
        <v>5.1</v>
      </c>
    </row>
    <row r="432" customFormat="false" ht="15" hidden="false" customHeight="false" outlineLevel="0" collapsed="false">
      <c r="A432" s="41" t="n">
        <v>46230</v>
      </c>
      <c r="B432" s="42" t="n">
        <f aca="false">DATE(YEAR(A432),MONTH(A432),1)</f>
        <v>46204</v>
      </c>
      <c r="C432" s="3" t="s">
        <v>65</v>
      </c>
      <c r="D432" s="3" t="s">
        <v>66</v>
      </c>
      <c r="E432" s="3" t="s">
        <v>29</v>
      </c>
      <c r="F432" s="3" t="n">
        <v>10</v>
      </c>
      <c r="G432" s="36" t="n">
        <v>1.5</v>
      </c>
      <c r="H432" s="36" t="n">
        <f aca="false">F432*G432</f>
        <v>15</v>
      </c>
      <c r="I432" s="36" t="n">
        <f aca="false">INDEX(Inventory!$D$2:$D$17,MATCH(C432,Inventory!$A$2:$A$17,0))</f>
        <v>0.9</v>
      </c>
      <c r="J432" s="36" t="n">
        <f aca="false">F432*I432</f>
        <v>9</v>
      </c>
      <c r="K432" s="36" t="n">
        <f aca="false">H432-J432</f>
        <v>6</v>
      </c>
    </row>
    <row r="433" customFormat="false" ht="15" hidden="false" customHeight="false" outlineLevel="0" collapsed="false">
      <c r="A433" s="41" t="n">
        <v>46230</v>
      </c>
      <c r="B433" s="42" t="n">
        <f aca="false">DATE(YEAR(A433),MONTH(A433),1)</f>
        <v>46204</v>
      </c>
      <c r="C433" s="3" t="s">
        <v>55</v>
      </c>
      <c r="D433" s="3" t="s">
        <v>56</v>
      </c>
      <c r="E433" s="3" t="s">
        <v>29</v>
      </c>
      <c r="F433" s="3" t="n">
        <v>8</v>
      </c>
      <c r="G433" s="36" t="n">
        <v>2.5</v>
      </c>
      <c r="H433" s="36" t="n">
        <f aca="false">F433*G433</f>
        <v>20</v>
      </c>
      <c r="I433" s="36" t="n">
        <f aca="false">INDEX(Inventory!$D$2:$D$17,MATCH(C433,Inventory!$A$2:$A$17,0))</f>
        <v>1.6</v>
      </c>
      <c r="J433" s="36" t="n">
        <f aca="false">F433*I433</f>
        <v>12.8</v>
      </c>
      <c r="K433" s="36" t="n">
        <f aca="false">H433-J433</f>
        <v>7.2</v>
      </c>
    </row>
    <row r="434" customFormat="false" ht="15" hidden="false" customHeight="false" outlineLevel="0" collapsed="false">
      <c r="A434" s="41" t="n">
        <v>46231</v>
      </c>
      <c r="B434" s="42" t="n">
        <f aca="false">DATE(YEAR(A434),MONTH(A434),1)</f>
        <v>46204</v>
      </c>
      <c r="C434" s="3" t="s">
        <v>39</v>
      </c>
      <c r="D434" s="3" t="s">
        <v>40</v>
      </c>
      <c r="E434" s="3" t="s">
        <v>27</v>
      </c>
      <c r="F434" s="3" t="n">
        <v>33</v>
      </c>
      <c r="G434" s="36" t="n">
        <v>1</v>
      </c>
      <c r="H434" s="36" t="n">
        <f aca="false">F434*G434</f>
        <v>33</v>
      </c>
      <c r="I434" s="36" t="n">
        <f aca="false">INDEX(Inventory!$D$2:$D$17,MATCH(C434,Inventory!$A$2:$A$17,0))</f>
        <v>0.6</v>
      </c>
      <c r="J434" s="36" t="n">
        <f aca="false">F434*I434</f>
        <v>19.8</v>
      </c>
      <c r="K434" s="36" t="n">
        <f aca="false">H434-J434</f>
        <v>13.2</v>
      </c>
    </row>
    <row r="435" customFormat="false" ht="15" hidden="false" customHeight="false" outlineLevel="0" collapsed="false">
      <c r="A435" s="41" t="n">
        <v>46231</v>
      </c>
      <c r="B435" s="42" t="n">
        <f aca="false">DATE(YEAR(A435),MONTH(A435),1)</f>
        <v>46204</v>
      </c>
      <c r="C435" s="3" t="s">
        <v>53</v>
      </c>
      <c r="D435" s="3" t="s">
        <v>54</v>
      </c>
      <c r="E435" s="3" t="s">
        <v>27</v>
      </c>
      <c r="F435" s="3" t="n">
        <v>28</v>
      </c>
      <c r="G435" s="36" t="n">
        <v>0.95</v>
      </c>
      <c r="H435" s="36" t="n">
        <f aca="false">F435*G435</f>
        <v>26.6</v>
      </c>
      <c r="I435" s="36" t="n">
        <f aca="false">INDEX(Inventory!$D$2:$D$17,MATCH(C435,Inventory!$A$2:$A$17,0))</f>
        <v>0.55</v>
      </c>
      <c r="J435" s="36" t="n">
        <f aca="false">F435*I435</f>
        <v>15.4</v>
      </c>
      <c r="K435" s="36" t="n">
        <f aca="false">H435-J435</f>
        <v>11.2</v>
      </c>
    </row>
    <row r="436" customFormat="false" ht="15" hidden="false" customHeight="false" outlineLevel="0" collapsed="false">
      <c r="A436" s="41" t="n">
        <v>46231</v>
      </c>
      <c r="B436" s="42" t="n">
        <f aca="false">DATE(YEAR(A436),MONTH(A436),1)</f>
        <v>46204</v>
      </c>
      <c r="C436" s="3" t="s">
        <v>59</v>
      </c>
      <c r="D436" s="3" t="s">
        <v>60</v>
      </c>
      <c r="E436" s="3" t="s">
        <v>27</v>
      </c>
      <c r="F436" s="3" t="n">
        <v>28</v>
      </c>
      <c r="G436" s="36" t="n">
        <v>0.6</v>
      </c>
      <c r="H436" s="36" t="n">
        <f aca="false">F436*G436</f>
        <v>16.8</v>
      </c>
      <c r="I436" s="36" t="n">
        <f aca="false">INDEX(Inventory!$D$2:$D$17,MATCH(C436,Inventory!$A$2:$A$17,0))</f>
        <v>0.3</v>
      </c>
      <c r="J436" s="36" t="n">
        <f aca="false">F436*I436</f>
        <v>8.4</v>
      </c>
      <c r="K436" s="36" t="n">
        <f aca="false">H436-J436</f>
        <v>8.4</v>
      </c>
    </row>
    <row r="437" customFormat="false" ht="15" hidden="false" customHeight="false" outlineLevel="0" collapsed="false">
      <c r="A437" s="41" t="n">
        <v>46231</v>
      </c>
      <c r="B437" s="42" t="n">
        <f aca="false">DATE(YEAR(A437),MONTH(A437),1)</f>
        <v>46204</v>
      </c>
      <c r="C437" s="3" t="s">
        <v>57</v>
      </c>
      <c r="D437" s="3" t="s">
        <v>58</v>
      </c>
      <c r="E437" s="3" t="s">
        <v>27</v>
      </c>
      <c r="F437" s="3" t="n">
        <v>12</v>
      </c>
      <c r="G437" s="36" t="n">
        <v>1.5</v>
      </c>
      <c r="H437" s="36" t="n">
        <f aca="false">F437*G437</f>
        <v>18</v>
      </c>
      <c r="I437" s="36" t="n">
        <f aca="false">INDEX(Inventory!$D$2:$D$17,MATCH(C437,Inventory!$A$2:$A$17,0))</f>
        <v>0.9</v>
      </c>
      <c r="J437" s="36" t="n">
        <f aca="false">F437*I437</f>
        <v>10.8</v>
      </c>
      <c r="K437" s="36" t="n">
        <f aca="false">H437-J437</f>
        <v>7.2</v>
      </c>
    </row>
    <row r="438" customFormat="false" ht="15" hidden="false" customHeight="false" outlineLevel="0" collapsed="false">
      <c r="A438" s="41" t="n">
        <v>46231</v>
      </c>
      <c r="B438" s="42" t="n">
        <f aca="false">DATE(YEAR(A438),MONTH(A438),1)</f>
        <v>46204</v>
      </c>
      <c r="C438" s="3" t="s">
        <v>41</v>
      </c>
      <c r="D438" s="3" t="s">
        <v>42</v>
      </c>
      <c r="E438" s="3" t="s">
        <v>28</v>
      </c>
      <c r="F438" s="3" t="n">
        <v>20</v>
      </c>
      <c r="G438" s="36" t="n">
        <v>1.3</v>
      </c>
      <c r="H438" s="36" t="n">
        <f aca="false">F438*G438</f>
        <v>26</v>
      </c>
      <c r="I438" s="36" t="n">
        <f aca="false">INDEX(Inventory!$D$2:$D$17,MATCH(C438,Inventory!$A$2:$A$17,0))</f>
        <v>0.8</v>
      </c>
      <c r="J438" s="36" t="n">
        <f aca="false">F438*I438</f>
        <v>16</v>
      </c>
      <c r="K438" s="36" t="n">
        <f aca="false">H438-J438</f>
        <v>10</v>
      </c>
    </row>
    <row r="439" customFormat="false" ht="15" hidden="false" customHeight="false" outlineLevel="0" collapsed="false">
      <c r="A439" s="41" t="n">
        <v>46231</v>
      </c>
      <c r="B439" s="42" t="n">
        <f aca="false">DATE(YEAR(A439),MONTH(A439),1)</f>
        <v>46204</v>
      </c>
      <c r="C439" s="3" t="s">
        <v>63</v>
      </c>
      <c r="D439" s="3" t="s">
        <v>64</v>
      </c>
      <c r="E439" s="3" t="s">
        <v>28</v>
      </c>
      <c r="F439" s="3" t="n">
        <v>21</v>
      </c>
      <c r="G439" s="36" t="n">
        <v>0.9</v>
      </c>
      <c r="H439" s="36" t="n">
        <f aca="false">F439*G439</f>
        <v>18.9</v>
      </c>
      <c r="I439" s="36" t="n">
        <f aca="false">INDEX(Inventory!$D$2:$D$17,MATCH(C439,Inventory!$A$2:$A$17,0))</f>
        <v>0.5</v>
      </c>
      <c r="J439" s="36" t="n">
        <f aca="false">F439*I439</f>
        <v>10.5</v>
      </c>
      <c r="K439" s="36" t="n">
        <f aca="false">H439-J439</f>
        <v>8.4</v>
      </c>
    </row>
    <row r="440" customFormat="false" ht="15" hidden="false" customHeight="false" outlineLevel="0" collapsed="false">
      <c r="A440" s="41" t="n">
        <v>46231</v>
      </c>
      <c r="B440" s="42" t="n">
        <f aca="false">DATE(YEAR(A440),MONTH(A440),1)</f>
        <v>46204</v>
      </c>
      <c r="C440" s="3" t="s">
        <v>49</v>
      </c>
      <c r="D440" s="3" t="s">
        <v>50</v>
      </c>
      <c r="E440" s="3" t="s">
        <v>28</v>
      </c>
      <c r="F440" s="3" t="n">
        <v>9</v>
      </c>
      <c r="G440" s="36" t="n">
        <v>1.2</v>
      </c>
      <c r="H440" s="36" t="n">
        <f aca="false">F440*G440</f>
        <v>10.8</v>
      </c>
      <c r="I440" s="36" t="n">
        <f aca="false">INDEX(Inventory!$D$2:$D$17,MATCH(C440,Inventory!$A$2:$A$17,0))</f>
        <v>0.7</v>
      </c>
      <c r="J440" s="36" t="n">
        <f aca="false">F440*I440</f>
        <v>6.3</v>
      </c>
      <c r="K440" s="36" t="n">
        <f aca="false">H440-J440</f>
        <v>4.5</v>
      </c>
    </row>
    <row r="441" customFormat="false" ht="15" hidden="false" customHeight="false" outlineLevel="0" collapsed="false">
      <c r="A441" s="41" t="n">
        <v>46231</v>
      </c>
      <c r="B441" s="42" t="n">
        <f aca="false">DATE(YEAR(A441),MONTH(A441),1)</f>
        <v>46204</v>
      </c>
      <c r="C441" s="3" t="s">
        <v>51</v>
      </c>
      <c r="D441" s="3" t="s">
        <v>52</v>
      </c>
      <c r="E441" s="3" t="s">
        <v>28</v>
      </c>
      <c r="F441" s="3" t="n">
        <v>25</v>
      </c>
      <c r="G441" s="36" t="n">
        <v>0.85</v>
      </c>
      <c r="H441" s="36" t="n">
        <f aca="false">F441*G441</f>
        <v>21.25</v>
      </c>
      <c r="I441" s="36" t="n">
        <f aca="false">INDEX(Inventory!$D$2:$D$17,MATCH(C441,Inventory!$A$2:$A$17,0))</f>
        <v>0.45</v>
      </c>
      <c r="J441" s="36" t="n">
        <f aca="false">F441*I441</f>
        <v>11.25</v>
      </c>
      <c r="K441" s="36" t="n">
        <f aca="false">H441-J441</f>
        <v>10</v>
      </c>
    </row>
    <row r="442" customFormat="false" ht="15" hidden="false" customHeight="false" outlineLevel="0" collapsed="false">
      <c r="A442" s="41" t="n">
        <v>46231</v>
      </c>
      <c r="B442" s="42" t="n">
        <f aca="false">DATE(YEAR(A442),MONTH(A442),1)</f>
        <v>46204</v>
      </c>
      <c r="C442" s="3" t="s">
        <v>37</v>
      </c>
      <c r="D442" s="3" t="s">
        <v>38</v>
      </c>
      <c r="E442" s="3" t="s">
        <v>26</v>
      </c>
      <c r="F442" s="3" t="n">
        <v>15</v>
      </c>
      <c r="G442" s="36" t="n">
        <v>1.2</v>
      </c>
      <c r="H442" s="36" t="n">
        <f aca="false">F442*G442</f>
        <v>18</v>
      </c>
      <c r="I442" s="36" t="n">
        <f aca="false">INDEX(Inventory!$D$2:$D$17,MATCH(C442,Inventory!$A$2:$A$17,0))</f>
        <v>0.85</v>
      </c>
      <c r="J442" s="36" t="n">
        <f aca="false">F442*I442</f>
        <v>12.75</v>
      </c>
      <c r="K442" s="36" t="n">
        <f aca="false">H442-J442</f>
        <v>5.25</v>
      </c>
    </row>
    <row r="443" customFormat="false" ht="15" hidden="false" customHeight="false" outlineLevel="0" collapsed="false">
      <c r="A443" s="41" t="n">
        <v>46231</v>
      </c>
      <c r="B443" s="42" t="n">
        <f aca="false">DATE(YEAR(A443),MONTH(A443),1)</f>
        <v>46204</v>
      </c>
      <c r="C443" s="3" t="s">
        <v>47</v>
      </c>
      <c r="D443" s="3" t="s">
        <v>48</v>
      </c>
      <c r="E443" s="3" t="s">
        <v>26</v>
      </c>
      <c r="F443" s="3" t="n">
        <v>4</v>
      </c>
      <c r="G443" s="36" t="n">
        <v>2.2</v>
      </c>
      <c r="H443" s="36" t="n">
        <f aca="false">F443*G443</f>
        <v>8.8</v>
      </c>
      <c r="I443" s="36" t="n">
        <f aca="false">INDEX(Inventory!$D$2:$D$17,MATCH(C443,Inventory!$A$2:$A$17,0))</f>
        <v>1.4</v>
      </c>
      <c r="J443" s="36" t="n">
        <f aca="false">F443*I443</f>
        <v>5.6</v>
      </c>
      <c r="K443" s="36" t="n">
        <f aca="false">H443-J443</f>
        <v>3.2</v>
      </c>
    </row>
    <row r="444" customFormat="false" ht="15" hidden="false" customHeight="false" outlineLevel="0" collapsed="false">
      <c r="A444" s="41" t="n">
        <v>46231</v>
      </c>
      <c r="B444" s="42" t="n">
        <f aca="false">DATE(YEAR(A444),MONTH(A444),1)</f>
        <v>46204</v>
      </c>
      <c r="C444" s="3" t="s">
        <v>43</v>
      </c>
      <c r="D444" s="3" t="s">
        <v>44</v>
      </c>
      <c r="E444" s="3" t="s">
        <v>26</v>
      </c>
      <c r="F444" s="3" t="n">
        <v>3</v>
      </c>
      <c r="G444" s="36" t="n">
        <v>3.8</v>
      </c>
      <c r="H444" s="36" t="n">
        <f aca="false">F444*G444</f>
        <v>11.4</v>
      </c>
      <c r="I444" s="36" t="n">
        <f aca="false">INDEX(Inventory!$D$2:$D$17,MATCH(C444,Inventory!$A$2:$A$17,0))</f>
        <v>2.6</v>
      </c>
      <c r="J444" s="36" t="n">
        <f aca="false">F444*I444</f>
        <v>7.8</v>
      </c>
      <c r="K444" s="36" t="n">
        <f aca="false">H444-J444</f>
        <v>3.6</v>
      </c>
    </row>
    <row r="445" customFormat="false" ht="15" hidden="false" customHeight="false" outlineLevel="0" collapsed="false">
      <c r="A445" s="41" t="n">
        <v>46231</v>
      </c>
      <c r="B445" s="42" t="n">
        <f aca="false">DATE(YEAR(A445),MONTH(A445),1)</f>
        <v>46204</v>
      </c>
      <c r="C445" s="3" t="s">
        <v>67</v>
      </c>
      <c r="D445" s="3" t="s">
        <v>68</v>
      </c>
      <c r="E445" s="3" t="s">
        <v>26</v>
      </c>
      <c r="F445" s="3" t="n">
        <v>4</v>
      </c>
      <c r="G445" s="36" t="n">
        <v>1.9</v>
      </c>
      <c r="H445" s="36" t="n">
        <f aca="false">F445*G445</f>
        <v>7.6</v>
      </c>
      <c r="I445" s="36" t="n">
        <f aca="false">INDEX(Inventory!$D$2:$D$17,MATCH(C445,Inventory!$A$2:$A$17,0))</f>
        <v>1.3</v>
      </c>
      <c r="J445" s="36" t="n">
        <f aca="false">F445*I445</f>
        <v>5.2</v>
      </c>
      <c r="K445" s="36" t="n">
        <f aca="false">H445-J445</f>
        <v>2.4</v>
      </c>
    </row>
    <row r="446" customFormat="false" ht="15" hidden="false" customHeight="false" outlineLevel="0" collapsed="false">
      <c r="A446" s="41" t="n">
        <v>46231</v>
      </c>
      <c r="B446" s="42" t="n">
        <f aca="false">DATE(YEAR(A446),MONTH(A446),1)</f>
        <v>46204</v>
      </c>
      <c r="C446" s="3" t="s">
        <v>61</v>
      </c>
      <c r="D446" s="3" t="s">
        <v>62</v>
      </c>
      <c r="E446" s="3" t="s">
        <v>29</v>
      </c>
      <c r="F446" s="3" t="n">
        <v>11</v>
      </c>
      <c r="G446" s="36" t="n">
        <v>1.9</v>
      </c>
      <c r="H446" s="36" t="n">
        <f aca="false">F446*G446</f>
        <v>20.9</v>
      </c>
      <c r="I446" s="36" t="n">
        <f aca="false">INDEX(Inventory!$D$2:$D$17,MATCH(C446,Inventory!$A$2:$A$17,0))</f>
        <v>1.1</v>
      </c>
      <c r="J446" s="36" t="n">
        <f aca="false">F446*I446</f>
        <v>12.1</v>
      </c>
      <c r="K446" s="36" t="n">
        <f aca="false">H446-J446</f>
        <v>8.8</v>
      </c>
    </row>
    <row r="447" customFormat="false" ht="15" hidden="false" customHeight="false" outlineLevel="0" collapsed="false">
      <c r="A447" s="41" t="n">
        <v>46231</v>
      </c>
      <c r="B447" s="42" t="n">
        <f aca="false">DATE(YEAR(A447),MONTH(A447),1)</f>
        <v>46204</v>
      </c>
      <c r="C447" s="3" t="s">
        <v>45</v>
      </c>
      <c r="D447" s="3" t="s">
        <v>46</v>
      </c>
      <c r="E447" s="3" t="s">
        <v>29</v>
      </c>
      <c r="F447" s="3" t="n">
        <v>4</v>
      </c>
      <c r="G447" s="36" t="n">
        <v>5.2</v>
      </c>
      <c r="H447" s="36" t="n">
        <f aca="false">F447*G447</f>
        <v>20.8</v>
      </c>
      <c r="I447" s="36" t="n">
        <f aca="false">INDEX(Inventory!$D$2:$D$17,MATCH(C447,Inventory!$A$2:$A$17,0))</f>
        <v>3.5</v>
      </c>
      <c r="J447" s="36" t="n">
        <f aca="false">F447*I447</f>
        <v>14</v>
      </c>
      <c r="K447" s="36" t="n">
        <f aca="false">H447-J447</f>
        <v>6.8</v>
      </c>
    </row>
    <row r="448" customFormat="false" ht="15" hidden="false" customHeight="false" outlineLevel="0" collapsed="false">
      <c r="A448" s="41" t="n">
        <v>46231</v>
      </c>
      <c r="B448" s="42" t="n">
        <f aca="false">DATE(YEAR(A448),MONTH(A448),1)</f>
        <v>46204</v>
      </c>
      <c r="C448" s="3" t="s">
        <v>65</v>
      </c>
      <c r="D448" s="3" t="s">
        <v>66</v>
      </c>
      <c r="E448" s="3" t="s">
        <v>29</v>
      </c>
      <c r="F448" s="3" t="n">
        <v>8</v>
      </c>
      <c r="G448" s="36" t="n">
        <v>1.5</v>
      </c>
      <c r="H448" s="36" t="n">
        <f aca="false">F448*G448</f>
        <v>12</v>
      </c>
      <c r="I448" s="36" t="n">
        <f aca="false">INDEX(Inventory!$D$2:$D$17,MATCH(C448,Inventory!$A$2:$A$17,0))</f>
        <v>0.9</v>
      </c>
      <c r="J448" s="36" t="n">
        <f aca="false">F448*I448</f>
        <v>7.2</v>
      </c>
      <c r="K448" s="36" t="n">
        <f aca="false">H448-J448</f>
        <v>4.8</v>
      </c>
    </row>
    <row r="449" customFormat="false" ht="15" hidden="false" customHeight="false" outlineLevel="0" collapsed="false">
      <c r="A449" s="41" t="n">
        <v>46231</v>
      </c>
      <c r="B449" s="42" t="n">
        <f aca="false">DATE(YEAR(A449),MONTH(A449),1)</f>
        <v>46204</v>
      </c>
      <c r="C449" s="3" t="s">
        <v>55</v>
      </c>
      <c r="D449" s="3" t="s">
        <v>56</v>
      </c>
      <c r="E449" s="3" t="s">
        <v>29</v>
      </c>
      <c r="F449" s="3" t="n">
        <v>5</v>
      </c>
      <c r="G449" s="36" t="n">
        <v>2.5</v>
      </c>
      <c r="H449" s="36" t="n">
        <f aca="false">F449*G449</f>
        <v>12.5</v>
      </c>
      <c r="I449" s="36" t="n">
        <f aca="false">INDEX(Inventory!$D$2:$D$17,MATCH(C449,Inventory!$A$2:$A$17,0))</f>
        <v>1.6</v>
      </c>
      <c r="J449" s="36" t="n">
        <f aca="false">F449*I449</f>
        <v>8</v>
      </c>
      <c r="K449" s="36" t="n">
        <f aca="false">H449-J449</f>
        <v>4.5</v>
      </c>
    </row>
    <row r="450" customFormat="false" ht="15" hidden="false" customHeight="false" outlineLevel="0" collapsed="false">
      <c r="A450" s="41" t="n">
        <v>46232</v>
      </c>
      <c r="B450" s="42" t="n">
        <f aca="false">DATE(YEAR(A450),MONTH(A450),1)</f>
        <v>46204</v>
      </c>
      <c r="C450" s="3" t="s">
        <v>39</v>
      </c>
      <c r="D450" s="3" t="s">
        <v>40</v>
      </c>
      <c r="E450" s="3" t="s">
        <v>27</v>
      </c>
      <c r="F450" s="3" t="n">
        <v>30</v>
      </c>
      <c r="G450" s="36" t="n">
        <v>1</v>
      </c>
      <c r="H450" s="36" t="n">
        <f aca="false">F450*G450</f>
        <v>30</v>
      </c>
      <c r="I450" s="36" t="n">
        <f aca="false">INDEX(Inventory!$D$2:$D$17,MATCH(C450,Inventory!$A$2:$A$17,0))</f>
        <v>0.6</v>
      </c>
      <c r="J450" s="36" t="n">
        <f aca="false">F450*I450</f>
        <v>18</v>
      </c>
      <c r="K450" s="36" t="n">
        <f aca="false">H450-J450</f>
        <v>12</v>
      </c>
    </row>
    <row r="451" customFormat="false" ht="15" hidden="false" customHeight="false" outlineLevel="0" collapsed="false">
      <c r="A451" s="41" t="n">
        <v>46232</v>
      </c>
      <c r="B451" s="42" t="n">
        <f aca="false">DATE(YEAR(A451),MONTH(A451),1)</f>
        <v>46204</v>
      </c>
      <c r="C451" s="3" t="s">
        <v>53</v>
      </c>
      <c r="D451" s="3" t="s">
        <v>54</v>
      </c>
      <c r="E451" s="3" t="s">
        <v>27</v>
      </c>
      <c r="F451" s="3" t="n">
        <v>13</v>
      </c>
      <c r="G451" s="36" t="n">
        <v>0.95</v>
      </c>
      <c r="H451" s="36" t="n">
        <f aca="false">F451*G451</f>
        <v>12.35</v>
      </c>
      <c r="I451" s="36" t="n">
        <f aca="false">INDEX(Inventory!$D$2:$D$17,MATCH(C451,Inventory!$A$2:$A$17,0))</f>
        <v>0.55</v>
      </c>
      <c r="J451" s="36" t="n">
        <f aca="false">F451*I451</f>
        <v>7.15</v>
      </c>
      <c r="K451" s="36" t="n">
        <f aca="false">H451-J451</f>
        <v>5.2</v>
      </c>
    </row>
    <row r="452" customFormat="false" ht="15" hidden="false" customHeight="false" outlineLevel="0" collapsed="false">
      <c r="A452" s="41" t="n">
        <v>46232</v>
      </c>
      <c r="B452" s="42" t="n">
        <f aca="false">DATE(YEAR(A452),MONTH(A452),1)</f>
        <v>46204</v>
      </c>
      <c r="C452" s="3" t="s">
        <v>59</v>
      </c>
      <c r="D452" s="3" t="s">
        <v>60</v>
      </c>
      <c r="E452" s="3" t="s">
        <v>27</v>
      </c>
      <c r="F452" s="3" t="n">
        <v>40</v>
      </c>
      <c r="G452" s="36" t="n">
        <v>0.6</v>
      </c>
      <c r="H452" s="36" t="n">
        <f aca="false">F452*G452</f>
        <v>24</v>
      </c>
      <c r="I452" s="36" t="n">
        <f aca="false">INDEX(Inventory!$D$2:$D$17,MATCH(C452,Inventory!$A$2:$A$17,0))</f>
        <v>0.3</v>
      </c>
      <c r="J452" s="36" t="n">
        <f aca="false">F452*I452</f>
        <v>12</v>
      </c>
      <c r="K452" s="36" t="n">
        <f aca="false">H452-J452</f>
        <v>12</v>
      </c>
    </row>
    <row r="453" customFormat="false" ht="15" hidden="false" customHeight="false" outlineLevel="0" collapsed="false">
      <c r="A453" s="41" t="n">
        <v>46232</v>
      </c>
      <c r="B453" s="42" t="n">
        <f aca="false">DATE(YEAR(A453),MONTH(A453),1)</f>
        <v>46204</v>
      </c>
      <c r="C453" s="3" t="s">
        <v>57</v>
      </c>
      <c r="D453" s="3" t="s">
        <v>58</v>
      </c>
      <c r="E453" s="3" t="s">
        <v>27</v>
      </c>
      <c r="F453" s="3" t="n">
        <v>9</v>
      </c>
      <c r="G453" s="36" t="n">
        <v>1.5</v>
      </c>
      <c r="H453" s="36" t="n">
        <f aca="false">F453*G453</f>
        <v>13.5</v>
      </c>
      <c r="I453" s="36" t="n">
        <f aca="false">INDEX(Inventory!$D$2:$D$17,MATCH(C453,Inventory!$A$2:$A$17,0))</f>
        <v>0.9</v>
      </c>
      <c r="J453" s="36" t="n">
        <f aca="false">F453*I453</f>
        <v>8.1</v>
      </c>
      <c r="K453" s="36" t="n">
        <f aca="false">H453-J453</f>
        <v>5.4</v>
      </c>
    </row>
    <row r="454" customFormat="false" ht="15" hidden="false" customHeight="false" outlineLevel="0" collapsed="false">
      <c r="A454" s="41" t="n">
        <v>46232</v>
      </c>
      <c r="B454" s="42" t="n">
        <f aca="false">DATE(YEAR(A454),MONTH(A454),1)</f>
        <v>46204</v>
      </c>
      <c r="C454" s="3" t="s">
        <v>41</v>
      </c>
      <c r="D454" s="3" t="s">
        <v>42</v>
      </c>
      <c r="E454" s="3" t="s">
        <v>28</v>
      </c>
      <c r="F454" s="3" t="n">
        <v>16</v>
      </c>
      <c r="G454" s="36" t="n">
        <v>1.3</v>
      </c>
      <c r="H454" s="36" t="n">
        <f aca="false">F454*G454</f>
        <v>20.8</v>
      </c>
      <c r="I454" s="36" t="n">
        <f aca="false">INDEX(Inventory!$D$2:$D$17,MATCH(C454,Inventory!$A$2:$A$17,0))</f>
        <v>0.8</v>
      </c>
      <c r="J454" s="36" t="n">
        <f aca="false">F454*I454</f>
        <v>12.8</v>
      </c>
      <c r="K454" s="36" t="n">
        <f aca="false">H454-J454</f>
        <v>8</v>
      </c>
    </row>
    <row r="455" customFormat="false" ht="15" hidden="false" customHeight="false" outlineLevel="0" collapsed="false">
      <c r="A455" s="41" t="n">
        <v>46232</v>
      </c>
      <c r="B455" s="42" t="n">
        <f aca="false">DATE(YEAR(A455),MONTH(A455),1)</f>
        <v>46204</v>
      </c>
      <c r="C455" s="3" t="s">
        <v>63</v>
      </c>
      <c r="D455" s="3" t="s">
        <v>64</v>
      </c>
      <c r="E455" s="3" t="s">
        <v>28</v>
      </c>
      <c r="F455" s="3" t="n">
        <v>14</v>
      </c>
      <c r="G455" s="36" t="n">
        <v>0.9</v>
      </c>
      <c r="H455" s="36" t="n">
        <f aca="false">F455*G455</f>
        <v>12.6</v>
      </c>
      <c r="I455" s="36" t="n">
        <f aca="false">INDEX(Inventory!$D$2:$D$17,MATCH(C455,Inventory!$A$2:$A$17,0))</f>
        <v>0.5</v>
      </c>
      <c r="J455" s="36" t="n">
        <f aca="false">F455*I455</f>
        <v>7</v>
      </c>
      <c r="K455" s="36" t="n">
        <f aca="false">H455-J455</f>
        <v>5.6</v>
      </c>
    </row>
    <row r="456" customFormat="false" ht="15" hidden="false" customHeight="false" outlineLevel="0" collapsed="false">
      <c r="A456" s="41" t="n">
        <v>46232</v>
      </c>
      <c r="B456" s="42" t="n">
        <f aca="false">DATE(YEAR(A456),MONTH(A456),1)</f>
        <v>46204</v>
      </c>
      <c r="C456" s="3" t="s">
        <v>49</v>
      </c>
      <c r="D456" s="3" t="s">
        <v>50</v>
      </c>
      <c r="E456" s="3" t="s">
        <v>28</v>
      </c>
      <c r="F456" s="3" t="n">
        <v>16</v>
      </c>
      <c r="G456" s="36" t="n">
        <v>1.2</v>
      </c>
      <c r="H456" s="36" t="n">
        <f aca="false">F456*G456</f>
        <v>19.2</v>
      </c>
      <c r="I456" s="36" t="n">
        <f aca="false">INDEX(Inventory!$D$2:$D$17,MATCH(C456,Inventory!$A$2:$A$17,0))</f>
        <v>0.7</v>
      </c>
      <c r="J456" s="36" t="n">
        <f aca="false">F456*I456</f>
        <v>11.2</v>
      </c>
      <c r="K456" s="36" t="n">
        <f aca="false">H456-J456</f>
        <v>8</v>
      </c>
    </row>
    <row r="457" customFormat="false" ht="15" hidden="false" customHeight="false" outlineLevel="0" collapsed="false">
      <c r="A457" s="41" t="n">
        <v>46232</v>
      </c>
      <c r="B457" s="42" t="n">
        <f aca="false">DATE(YEAR(A457),MONTH(A457),1)</f>
        <v>46204</v>
      </c>
      <c r="C457" s="3" t="s">
        <v>51</v>
      </c>
      <c r="D457" s="3" t="s">
        <v>52</v>
      </c>
      <c r="E457" s="3" t="s">
        <v>28</v>
      </c>
      <c r="F457" s="3" t="n">
        <v>30</v>
      </c>
      <c r="G457" s="36" t="n">
        <v>0.85</v>
      </c>
      <c r="H457" s="36" t="n">
        <f aca="false">F457*G457</f>
        <v>25.5</v>
      </c>
      <c r="I457" s="36" t="n">
        <f aca="false">INDEX(Inventory!$D$2:$D$17,MATCH(C457,Inventory!$A$2:$A$17,0))</f>
        <v>0.45</v>
      </c>
      <c r="J457" s="36" t="n">
        <f aca="false">F457*I457</f>
        <v>13.5</v>
      </c>
      <c r="K457" s="36" t="n">
        <f aca="false">H457-J457</f>
        <v>12</v>
      </c>
    </row>
    <row r="458" customFormat="false" ht="15" hidden="false" customHeight="false" outlineLevel="0" collapsed="false">
      <c r="A458" s="41" t="n">
        <v>46232</v>
      </c>
      <c r="B458" s="42" t="n">
        <f aca="false">DATE(YEAR(A458),MONTH(A458),1)</f>
        <v>46204</v>
      </c>
      <c r="C458" s="3" t="s">
        <v>37</v>
      </c>
      <c r="D458" s="3" t="s">
        <v>38</v>
      </c>
      <c r="E458" s="3" t="s">
        <v>26</v>
      </c>
      <c r="F458" s="3" t="n">
        <v>25</v>
      </c>
      <c r="G458" s="36" t="n">
        <v>1.2</v>
      </c>
      <c r="H458" s="36" t="n">
        <f aca="false">F458*G458</f>
        <v>30</v>
      </c>
      <c r="I458" s="36" t="n">
        <f aca="false">INDEX(Inventory!$D$2:$D$17,MATCH(C458,Inventory!$A$2:$A$17,0))</f>
        <v>0.85</v>
      </c>
      <c r="J458" s="36" t="n">
        <f aca="false">F458*I458</f>
        <v>21.25</v>
      </c>
      <c r="K458" s="36" t="n">
        <f aca="false">H458-J458</f>
        <v>8.75</v>
      </c>
    </row>
    <row r="459" customFormat="false" ht="15" hidden="false" customHeight="false" outlineLevel="0" collapsed="false">
      <c r="A459" s="41" t="n">
        <v>46232</v>
      </c>
      <c r="B459" s="42" t="n">
        <f aca="false">DATE(YEAR(A459),MONTH(A459),1)</f>
        <v>46204</v>
      </c>
      <c r="C459" s="3" t="s">
        <v>47</v>
      </c>
      <c r="D459" s="3" t="s">
        <v>48</v>
      </c>
      <c r="E459" s="3" t="s">
        <v>26</v>
      </c>
      <c r="F459" s="3" t="n">
        <v>7</v>
      </c>
      <c r="G459" s="36" t="n">
        <v>2.2</v>
      </c>
      <c r="H459" s="36" t="n">
        <f aca="false">F459*G459</f>
        <v>15.4</v>
      </c>
      <c r="I459" s="36" t="n">
        <f aca="false">INDEX(Inventory!$D$2:$D$17,MATCH(C459,Inventory!$A$2:$A$17,0))</f>
        <v>1.4</v>
      </c>
      <c r="J459" s="36" t="n">
        <f aca="false">F459*I459</f>
        <v>9.8</v>
      </c>
      <c r="K459" s="36" t="n">
        <f aca="false">H459-J459</f>
        <v>5.6</v>
      </c>
    </row>
    <row r="460" customFormat="false" ht="15" hidden="false" customHeight="false" outlineLevel="0" collapsed="false">
      <c r="A460" s="41" t="n">
        <v>46232</v>
      </c>
      <c r="B460" s="42" t="n">
        <f aca="false">DATE(YEAR(A460),MONTH(A460),1)</f>
        <v>46204</v>
      </c>
      <c r="C460" s="3" t="s">
        <v>43</v>
      </c>
      <c r="D460" s="3" t="s">
        <v>44</v>
      </c>
      <c r="E460" s="3" t="s">
        <v>26</v>
      </c>
      <c r="F460" s="3" t="n">
        <v>6</v>
      </c>
      <c r="G460" s="36" t="n">
        <v>3.8</v>
      </c>
      <c r="H460" s="36" t="n">
        <f aca="false">F460*G460</f>
        <v>22.8</v>
      </c>
      <c r="I460" s="36" t="n">
        <f aca="false">INDEX(Inventory!$D$2:$D$17,MATCH(C460,Inventory!$A$2:$A$17,0))</f>
        <v>2.6</v>
      </c>
      <c r="J460" s="36" t="n">
        <f aca="false">F460*I460</f>
        <v>15.6</v>
      </c>
      <c r="K460" s="36" t="n">
        <f aca="false">H460-J460</f>
        <v>7.2</v>
      </c>
    </row>
    <row r="461" customFormat="false" ht="15" hidden="false" customHeight="false" outlineLevel="0" collapsed="false">
      <c r="A461" s="41" t="n">
        <v>46232</v>
      </c>
      <c r="B461" s="42" t="n">
        <f aca="false">DATE(YEAR(A461),MONTH(A461),1)</f>
        <v>46204</v>
      </c>
      <c r="C461" s="3" t="s">
        <v>67</v>
      </c>
      <c r="D461" s="3" t="s">
        <v>68</v>
      </c>
      <c r="E461" s="3" t="s">
        <v>26</v>
      </c>
      <c r="F461" s="3" t="n">
        <v>5</v>
      </c>
      <c r="G461" s="36" t="n">
        <v>1.9</v>
      </c>
      <c r="H461" s="36" t="n">
        <f aca="false">F461*G461</f>
        <v>9.5</v>
      </c>
      <c r="I461" s="36" t="n">
        <f aca="false">INDEX(Inventory!$D$2:$D$17,MATCH(C461,Inventory!$A$2:$A$17,0))</f>
        <v>1.3</v>
      </c>
      <c r="J461" s="36" t="n">
        <f aca="false">F461*I461</f>
        <v>6.5</v>
      </c>
      <c r="K461" s="36" t="n">
        <f aca="false">H461-J461</f>
        <v>3</v>
      </c>
    </row>
    <row r="462" customFormat="false" ht="15" hidden="false" customHeight="false" outlineLevel="0" collapsed="false">
      <c r="A462" s="41" t="n">
        <v>46232</v>
      </c>
      <c r="B462" s="42" t="n">
        <f aca="false">DATE(YEAR(A462),MONTH(A462),1)</f>
        <v>46204</v>
      </c>
      <c r="C462" s="3" t="s">
        <v>61</v>
      </c>
      <c r="D462" s="3" t="s">
        <v>62</v>
      </c>
      <c r="E462" s="3" t="s">
        <v>29</v>
      </c>
      <c r="F462" s="3" t="n">
        <v>11</v>
      </c>
      <c r="G462" s="36" t="n">
        <v>1.9</v>
      </c>
      <c r="H462" s="36" t="n">
        <f aca="false">F462*G462</f>
        <v>20.9</v>
      </c>
      <c r="I462" s="36" t="n">
        <f aca="false">INDEX(Inventory!$D$2:$D$17,MATCH(C462,Inventory!$A$2:$A$17,0))</f>
        <v>1.1</v>
      </c>
      <c r="J462" s="36" t="n">
        <f aca="false">F462*I462</f>
        <v>12.1</v>
      </c>
      <c r="K462" s="36" t="n">
        <f aca="false">H462-J462</f>
        <v>8.8</v>
      </c>
    </row>
    <row r="463" customFormat="false" ht="15" hidden="false" customHeight="false" outlineLevel="0" collapsed="false">
      <c r="A463" s="41" t="n">
        <v>46232</v>
      </c>
      <c r="B463" s="42" t="n">
        <f aca="false">DATE(YEAR(A463),MONTH(A463),1)</f>
        <v>46204</v>
      </c>
      <c r="C463" s="3" t="s">
        <v>45</v>
      </c>
      <c r="D463" s="3" t="s">
        <v>46</v>
      </c>
      <c r="E463" s="3" t="s">
        <v>29</v>
      </c>
      <c r="F463" s="3" t="n">
        <v>5</v>
      </c>
      <c r="G463" s="36" t="n">
        <v>5.2</v>
      </c>
      <c r="H463" s="36" t="n">
        <f aca="false">F463*G463</f>
        <v>26</v>
      </c>
      <c r="I463" s="36" t="n">
        <f aca="false">INDEX(Inventory!$D$2:$D$17,MATCH(C463,Inventory!$A$2:$A$17,0))</f>
        <v>3.5</v>
      </c>
      <c r="J463" s="36" t="n">
        <f aca="false">F463*I463</f>
        <v>17.5</v>
      </c>
      <c r="K463" s="36" t="n">
        <f aca="false">H463-J463</f>
        <v>8.5</v>
      </c>
    </row>
    <row r="464" customFormat="false" ht="15" hidden="false" customHeight="false" outlineLevel="0" collapsed="false">
      <c r="A464" s="41" t="n">
        <v>46232</v>
      </c>
      <c r="B464" s="42" t="n">
        <f aca="false">DATE(YEAR(A464),MONTH(A464),1)</f>
        <v>46204</v>
      </c>
      <c r="C464" s="3" t="s">
        <v>65</v>
      </c>
      <c r="D464" s="3" t="s">
        <v>66</v>
      </c>
      <c r="E464" s="3" t="s">
        <v>29</v>
      </c>
      <c r="F464" s="3" t="n">
        <v>8</v>
      </c>
      <c r="G464" s="36" t="n">
        <v>1.5</v>
      </c>
      <c r="H464" s="36" t="n">
        <f aca="false">F464*G464</f>
        <v>12</v>
      </c>
      <c r="I464" s="36" t="n">
        <f aca="false">INDEX(Inventory!$D$2:$D$17,MATCH(C464,Inventory!$A$2:$A$17,0))</f>
        <v>0.9</v>
      </c>
      <c r="J464" s="36" t="n">
        <f aca="false">F464*I464</f>
        <v>7.2</v>
      </c>
      <c r="K464" s="36" t="n">
        <f aca="false">H464-J464</f>
        <v>4.8</v>
      </c>
    </row>
    <row r="465" customFormat="false" ht="15" hidden="false" customHeight="false" outlineLevel="0" collapsed="false">
      <c r="A465" s="41" t="n">
        <v>46232</v>
      </c>
      <c r="B465" s="42" t="n">
        <f aca="false">DATE(YEAR(A465),MONTH(A465),1)</f>
        <v>46204</v>
      </c>
      <c r="C465" s="3" t="s">
        <v>55</v>
      </c>
      <c r="D465" s="3" t="s">
        <v>56</v>
      </c>
      <c r="E465" s="3" t="s">
        <v>29</v>
      </c>
      <c r="F465" s="3" t="n">
        <v>9</v>
      </c>
      <c r="G465" s="36" t="n">
        <v>2.5</v>
      </c>
      <c r="H465" s="36" t="n">
        <f aca="false">F465*G465</f>
        <v>22.5</v>
      </c>
      <c r="I465" s="36" t="n">
        <f aca="false">INDEX(Inventory!$D$2:$D$17,MATCH(C465,Inventory!$A$2:$A$17,0))</f>
        <v>1.6</v>
      </c>
      <c r="J465" s="36" t="n">
        <f aca="false">F465*I465</f>
        <v>14.4</v>
      </c>
      <c r="K465" s="36" t="n">
        <f aca="false">H465-J465</f>
        <v>8.1</v>
      </c>
    </row>
    <row r="466" customFormat="false" ht="15" hidden="false" customHeight="false" outlineLevel="0" collapsed="false">
      <c r="A466" s="41" t="n">
        <v>46233</v>
      </c>
      <c r="B466" s="42" t="n">
        <f aca="false">DATE(YEAR(A466),MONTH(A466),1)</f>
        <v>46204</v>
      </c>
      <c r="C466" s="3" t="s">
        <v>39</v>
      </c>
      <c r="D466" s="3" t="s">
        <v>40</v>
      </c>
      <c r="E466" s="3" t="s">
        <v>27</v>
      </c>
      <c r="F466" s="3" t="n">
        <v>23</v>
      </c>
      <c r="G466" s="36" t="n">
        <v>1</v>
      </c>
      <c r="H466" s="36" t="n">
        <f aca="false">F466*G466</f>
        <v>23</v>
      </c>
      <c r="I466" s="36" t="n">
        <f aca="false">INDEX(Inventory!$D$2:$D$17,MATCH(C466,Inventory!$A$2:$A$17,0))</f>
        <v>0.6</v>
      </c>
      <c r="J466" s="36" t="n">
        <f aca="false">F466*I466</f>
        <v>13.8</v>
      </c>
      <c r="K466" s="36" t="n">
        <f aca="false">H466-J466</f>
        <v>9.2</v>
      </c>
    </row>
    <row r="467" customFormat="false" ht="15" hidden="false" customHeight="false" outlineLevel="0" collapsed="false">
      <c r="A467" s="41" t="n">
        <v>46233</v>
      </c>
      <c r="B467" s="42" t="n">
        <f aca="false">DATE(YEAR(A467),MONTH(A467),1)</f>
        <v>46204</v>
      </c>
      <c r="C467" s="3" t="s">
        <v>53</v>
      </c>
      <c r="D467" s="3" t="s">
        <v>54</v>
      </c>
      <c r="E467" s="3" t="s">
        <v>27</v>
      </c>
      <c r="F467" s="3" t="n">
        <v>17</v>
      </c>
      <c r="G467" s="36" t="n">
        <v>0.95</v>
      </c>
      <c r="H467" s="36" t="n">
        <f aca="false">F467*G467</f>
        <v>16.15</v>
      </c>
      <c r="I467" s="36" t="n">
        <f aca="false">INDEX(Inventory!$D$2:$D$17,MATCH(C467,Inventory!$A$2:$A$17,0))</f>
        <v>0.55</v>
      </c>
      <c r="J467" s="36" t="n">
        <f aca="false">F467*I467</f>
        <v>9.35</v>
      </c>
      <c r="K467" s="36" t="n">
        <f aca="false">H467-J467</f>
        <v>6.8</v>
      </c>
    </row>
    <row r="468" customFormat="false" ht="15" hidden="false" customHeight="false" outlineLevel="0" collapsed="false">
      <c r="A468" s="41" t="n">
        <v>46233</v>
      </c>
      <c r="B468" s="42" t="n">
        <f aca="false">DATE(YEAR(A468),MONTH(A468),1)</f>
        <v>46204</v>
      </c>
      <c r="C468" s="3" t="s">
        <v>59</v>
      </c>
      <c r="D468" s="3" t="s">
        <v>60</v>
      </c>
      <c r="E468" s="3" t="s">
        <v>27</v>
      </c>
      <c r="F468" s="3" t="n">
        <v>31</v>
      </c>
      <c r="G468" s="36" t="n">
        <v>0.6</v>
      </c>
      <c r="H468" s="36" t="n">
        <f aca="false">F468*G468</f>
        <v>18.6</v>
      </c>
      <c r="I468" s="36" t="n">
        <f aca="false">INDEX(Inventory!$D$2:$D$17,MATCH(C468,Inventory!$A$2:$A$17,0))</f>
        <v>0.3</v>
      </c>
      <c r="J468" s="36" t="n">
        <f aca="false">F468*I468</f>
        <v>9.3</v>
      </c>
      <c r="K468" s="36" t="n">
        <f aca="false">H468-J468</f>
        <v>9.3</v>
      </c>
    </row>
    <row r="469" customFormat="false" ht="15" hidden="false" customHeight="false" outlineLevel="0" collapsed="false">
      <c r="A469" s="41" t="n">
        <v>46233</v>
      </c>
      <c r="B469" s="42" t="n">
        <f aca="false">DATE(YEAR(A469),MONTH(A469),1)</f>
        <v>46204</v>
      </c>
      <c r="C469" s="3" t="s">
        <v>57</v>
      </c>
      <c r="D469" s="3" t="s">
        <v>58</v>
      </c>
      <c r="E469" s="3" t="s">
        <v>27</v>
      </c>
      <c r="F469" s="3" t="n">
        <v>17</v>
      </c>
      <c r="G469" s="36" t="n">
        <v>1.5</v>
      </c>
      <c r="H469" s="36" t="n">
        <f aca="false">F469*G469</f>
        <v>25.5</v>
      </c>
      <c r="I469" s="36" t="n">
        <f aca="false">INDEX(Inventory!$D$2:$D$17,MATCH(C469,Inventory!$A$2:$A$17,0))</f>
        <v>0.9</v>
      </c>
      <c r="J469" s="36" t="n">
        <f aca="false">F469*I469</f>
        <v>15.3</v>
      </c>
      <c r="K469" s="36" t="n">
        <f aca="false">H469-J469</f>
        <v>10.2</v>
      </c>
    </row>
    <row r="470" customFormat="false" ht="15" hidden="false" customHeight="false" outlineLevel="0" collapsed="false">
      <c r="A470" s="41" t="n">
        <v>46233</v>
      </c>
      <c r="B470" s="42" t="n">
        <f aca="false">DATE(YEAR(A470),MONTH(A470),1)</f>
        <v>46204</v>
      </c>
      <c r="C470" s="3" t="s">
        <v>41</v>
      </c>
      <c r="D470" s="3" t="s">
        <v>42</v>
      </c>
      <c r="E470" s="3" t="s">
        <v>28</v>
      </c>
      <c r="F470" s="3" t="n">
        <v>20</v>
      </c>
      <c r="G470" s="36" t="n">
        <v>1.3</v>
      </c>
      <c r="H470" s="36" t="n">
        <f aca="false">F470*G470</f>
        <v>26</v>
      </c>
      <c r="I470" s="36" t="n">
        <f aca="false">INDEX(Inventory!$D$2:$D$17,MATCH(C470,Inventory!$A$2:$A$17,0))</f>
        <v>0.8</v>
      </c>
      <c r="J470" s="36" t="n">
        <f aca="false">F470*I470</f>
        <v>16</v>
      </c>
      <c r="K470" s="36" t="n">
        <f aca="false">H470-J470</f>
        <v>10</v>
      </c>
    </row>
    <row r="471" customFormat="false" ht="15" hidden="false" customHeight="false" outlineLevel="0" collapsed="false">
      <c r="A471" s="41" t="n">
        <v>46233</v>
      </c>
      <c r="B471" s="42" t="n">
        <f aca="false">DATE(YEAR(A471),MONTH(A471),1)</f>
        <v>46204</v>
      </c>
      <c r="C471" s="3" t="s">
        <v>63</v>
      </c>
      <c r="D471" s="3" t="s">
        <v>64</v>
      </c>
      <c r="E471" s="3" t="s">
        <v>28</v>
      </c>
      <c r="F471" s="3" t="n">
        <v>13</v>
      </c>
      <c r="G471" s="36" t="n">
        <v>0.9</v>
      </c>
      <c r="H471" s="36" t="n">
        <f aca="false">F471*G471</f>
        <v>11.7</v>
      </c>
      <c r="I471" s="36" t="n">
        <f aca="false">INDEX(Inventory!$D$2:$D$17,MATCH(C471,Inventory!$A$2:$A$17,0))</f>
        <v>0.5</v>
      </c>
      <c r="J471" s="36" t="n">
        <f aca="false">F471*I471</f>
        <v>6.5</v>
      </c>
      <c r="K471" s="36" t="n">
        <f aca="false">H471-J471</f>
        <v>5.2</v>
      </c>
    </row>
    <row r="472" customFormat="false" ht="15" hidden="false" customHeight="false" outlineLevel="0" collapsed="false">
      <c r="A472" s="41" t="n">
        <v>46233</v>
      </c>
      <c r="B472" s="42" t="n">
        <f aca="false">DATE(YEAR(A472),MONTH(A472),1)</f>
        <v>46204</v>
      </c>
      <c r="C472" s="3" t="s">
        <v>49</v>
      </c>
      <c r="D472" s="3" t="s">
        <v>50</v>
      </c>
      <c r="E472" s="3" t="s">
        <v>28</v>
      </c>
      <c r="F472" s="3" t="n">
        <v>12</v>
      </c>
      <c r="G472" s="36" t="n">
        <v>1.2</v>
      </c>
      <c r="H472" s="36" t="n">
        <f aca="false">F472*G472</f>
        <v>14.4</v>
      </c>
      <c r="I472" s="36" t="n">
        <f aca="false">INDEX(Inventory!$D$2:$D$17,MATCH(C472,Inventory!$A$2:$A$17,0))</f>
        <v>0.7</v>
      </c>
      <c r="J472" s="36" t="n">
        <f aca="false">F472*I472</f>
        <v>8.4</v>
      </c>
      <c r="K472" s="36" t="n">
        <f aca="false">H472-J472</f>
        <v>6</v>
      </c>
    </row>
    <row r="473" customFormat="false" ht="15" hidden="false" customHeight="false" outlineLevel="0" collapsed="false">
      <c r="A473" s="41" t="n">
        <v>46233</v>
      </c>
      <c r="B473" s="42" t="n">
        <f aca="false">DATE(YEAR(A473),MONTH(A473),1)</f>
        <v>46204</v>
      </c>
      <c r="C473" s="3" t="s">
        <v>51</v>
      </c>
      <c r="D473" s="3" t="s">
        <v>52</v>
      </c>
      <c r="E473" s="3" t="s">
        <v>28</v>
      </c>
      <c r="F473" s="3" t="n">
        <v>26</v>
      </c>
      <c r="G473" s="36" t="n">
        <v>0.85</v>
      </c>
      <c r="H473" s="36" t="n">
        <f aca="false">F473*G473</f>
        <v>22.1</v>
      </c>
      <c r="I473" s="36" t="n">
        <f aca="false">INDEX(Inventory!$D$2:$D$17,MATCH(C473,Inventory!$A$2:$A$17,0))</f>
        <v>0.45</v>
      </c>
      <c r="J473" s="36" t="n">
        <f aca="false">F473*I473</f>
        <v>11.7</v>
      </c>
      <c r="K473" s="36" t="n">
        <f aca="false">H473-J473</f>
        <v>10.4</v>
      </c>
    </row>
    <row r="474" customFormat="false" ht="15" hidden="false" customHeight="false" outlineLevel="0" collapsed="false">
      <c r="A474" s="41" t="n">
        <v>46233</v>
      </c>
      <c r="B474" s="42" t="n">
        <f aca="false">DATE(YEAR(A474),MONTH(A474),1)</f>
        <v>46204</v>
      </c>
      <c r="C474" s="3" t="s">
        <v>37</v>
      </c>
      <c r="D474" s="3" t="s">
        <v>38</v>
      </c>
      <c r="E474" s="3" t="s">
        <v>26</v>
      </c>
      <c r="F474" s="3" t="n">
        <v>20</v>
      </c>
      <c r="G474" s="36" t="n">
        <v>1.2</v>
      </c>
      <c r="H474" s="36" t="n">
        <f aca="false">F474*G474</f>
        <v>24</v>
      </c>
      <c r="I474" s="36" t="n">
        <f aca="false">INDEX(Inventory!$D$2:$D$17,MATCH(C474,Inventory!$A$2:$A$17,0))</f>
        <v>0.85</v>
      </c>
      <c r="J474" s="36" t="n">
        <f aca="false">F474*I474</f>
        <v>17</v>
      </c>
      <c r="K474" s="36" t="n">
        <f aca="false">H474-J474</f>
        <v>7</v>
      </c>
    </row>
    <row r="475" customFormat="false" ht="15" hidden="false" customHeight="false" outlineLevel="0" collapsed="false">
      <c r="A475" s="41" t="n">
        <v>46233</v>
      </c>
      <c r="B475" s="42" t="n">
        <f aca="false">DATE(YEAR(A475),MONTH(A475),1)</f>
        <v>46204</v>
      </c>
      <c r="C475" s="3" t="s">
        <v>47</v>
      </c>
      <c r="D475" s="3" t="s">
        <v>48</v>
      </c>
      <c r="E475" s="3" t="s">
        <v>26</v>
      </c>
      <c r="F475" s="3" t="n">
        <v>11</v>
      </c>
      <c r="G475" s="36" t="n">
        <v>2.2</v>
      </c>
      <c r="H475" s="36" t="n">
        <f aca="false">F475*G475</f>
        <v>24.2</v>
      </c>
      <c r="I475" s="36" t="n">
        <f aca="false">INDEX(Inventory!$D$2:$D$17,MATCH(C475,Inventory!$A$2:$A$17,0))</f>
        <v>1.4</v>
      </c>
      <c r="J475" s="36" t="n">
        <f aca="false">F475*I475</f>
        <v>15.4</v>
      </c>
      <c r="K475" s="36" t="n">
        <f aca="false">H475-J475</f>
        <v>8.8</v>
      </c>
    </row>
    <row r="476" customFormat="false" ht="15" hidden="false" customHeight="false" outlineLevel="0" collapsed="false">
      <c r="A476" s="41" t="n">
        <v>46233</v>
      </c>
      <c r="B476" s="42" t="n">
        <f aca="false">DATE(YEAR(A476),MONTH(A476),1)</f>
        <v>46204</v>
      </c>
      <c r="C476" s="3" t="s">
        <v>43</v>
      </c>
      <c r="D476" s="3" t="s">
        <v>44</v>
      </c>
      <c r="E476" s="3" t="s">
        <v>26</v>
      </c>
      <c r="F476" s="3" t="n">
        <v>4</v>
      </c>
      <c r="G476" s="36" t="n">
        <v>3.8</v>
      </c>
      <c r="H476" s="36" t="n">
        <f aca="false">F476*G476</f>
        <v>15.2</v>
      </c>
      <c r="I476" s="36" t="n">
        <f aca="false">INDEX(Inventory!$D$2:$D$17,MATCH(C476,Inventory!$A$2:$A$17,0))</f>
        <v>2.6</v>
      </c>
      <c r="J476" s="36" t="n">
        <f aca="false">F476*I476</f>
        <v>10.4</v>
      </c>
      <c r="K476" s="36" t="n">
        <f aca="false">H476-J476</f>
        <v>4.8</v>
      </c>
    </row>
    <row r="477" customFormat="false" ht="15" hidden="false" customHeight="false" outlineLevel="0" collapsed="false">
      <c r="A477" s="41" t="n">
        <v>46233</v>
      </c>
      <c r="B477" s="42" t="n">
        <f aca="false">DATE(YEAR(A477),MONTH(A477),1)</f>
        <v>46204</v>
      </c>
      <c r="C477" s="3" t="s">
        <v>67</v>
      </c>
      <c r="D477" s="3" t="s">
        <v>68</v>
      </c>
      <c r="E477" s="3" t="s">
        <v>26</v>
      </c>
      <c r="F477" s="3" t="n">
        <v>8</v>
      </c>
      <c r="G477" s="36" t="n">
        <v>1.9</v>
      </c>
      <c r="H477" s="36" t="n">
        <f aca="false">F477*G477</f>
        <v>15.2</v>
      </c>
      <c r="I477" s="36" t="n">
        <f aca="false">INDEX(Inventory!$D$2:$D$17,MATCH(C477,Inventory!$A$2:$A$17,0))</f>
        <v>1.3</v>
      </c>
      <c r="J477" s="36" t="n">
        <f aca="false">F477*I477</f>
        <v>10.4</v>
      </c>
      <c r="K477" s="36" t="n">
        <f aca="false">H477-J477</f>
        <v>4.8</v>
      </c>
    </row>
    <row r="478" customFormat="false" ht="15" hidden="false" customHeight="false" outlineLevel="0" collapsed="false">
      <c r="A478" s="41" t="n">
        <v>46233</v>
      </c>
      <c r="B478" s="42" t="n">
        <f aca="false">DATE(YEAR(A478),MONTH(A478),1)</f>
        <v>46204</v>
      </c>
      <c r="C478" s="3" t="s">
        <v>61</v>
      </c>
      <c r="D478" s="3" t="s">
        <v>62</v>
      </c>
      <c r="E478" s="3" t="s">
        <v>29</v>
      </c>
      <c r="F478" s="3" t="n">
        <v>6</v>
      </c>
      <c r="G478" s="36" t="n">
        <v>1.9</v>
      </c>
      <c r="H478" s="36" t="n">
        <f aca="false">F478*G478</f>
        <v>11.4</v>
      </c>
      <c r="I478" s="36" t="n">
        <f aca="false">INDEX(Inventory!$D$2:$D$17,MATCH(C478,Inventory!$A$2:$A$17,0))</f>
        <v>1.1</v>
      </c>
      <c r="J478" s="36" t="n">
        <f aca="false">F478*I478</f>
        <v>6.6</v>
      </c>
      <c r="K478" s="36" t="n">
        <f aca="false">H478-J478</f>
        <v>4.8</v>
      </c>
    </row>
    <row r="479" customFormat="false" ht="15" hidden="false" customHeight="false" outlineLevel="0" collapsed="false">
      <c r="A479" s="41" t="n">
        <v>46233</v>
      </c>
      <c r="B479" s="42" t="n">
        <f aca="false">DATE(YEAR(A479),MONTH(A479),1)</f>
        <v>46204</v>
      </c>
      <c r="C479" s="3" t="s">
        <v>45</v>
      </c>
      <c r="D479" s="3" t="s">
        <v>46</v>
      </c>
      <c r="E479" s="3" t="s">
        <v>29</v>
      </c>
      <c r="F479" s="3" t="n">
        <v>4</v>
      </c>
      <c r="G479" s="36" t="n">
        <v>5.2</v>
      </c>
      <c r="H479" s="36" t="n">
        <f aca="false">F479*G479</f>
        <v>20.8</v>
      </c>
      <c r="I479" s="36" t="n">
        <f aca="false">INDEX(Inventory!$D$2:$D$17,MATCH(C479,Inventory!$A$2:$A$17,0))</f>
        <v>3.5</v>
      </c>
      <c r="J479" s="36" t="n">
        <f aca="false">F479*I479</f>
        <v>14</v>
      </c>
      <c r="K479" s="36" t="n">
        <f aca="false">H479-J479</f>
        <v>6.8</v>
      </c>
    </row>
    <row r="480" customFormat="false" ht="15" hidden="false" customHeight="false" outlineLevel="0" collapsed="false">
      <c r="A480" s="41" t="n">
        <v>46233</v>
      </c>
      <c r="B480" s="42" t="n">
        <f aca="false">DATE(YEAR(A480),MONTH(A480),1)</f>
        <v>46204</v>
      </c>
      <c r="C480" s="3" t="s">
        <v>65</v>
      </c>
      <c r="D480" s="3" t="s">
        <v>66</v>
      </c>
      <c r="E480" s="3" t="s">
        <v>29</v>
      </c>
      <c r="F480" s="3" t="n">
        <v>10</v>
      </c>
      <c r="G480" s="36" t="n">
        <v>1.5</v>
      </c>
      <c r="H480" s="36" t="n">
        <f aca="false">F480*G480</f>
        <v>15</v>
      </c>
      <c r="I480" s="36" t="n">
        <f aca="false">INDEX(Inventory!$D$2:$D$17,MATCH(C480,Inventory!$A$2:$A$17,0))</f>
        <v>0.9</v>
      </c>
      <c r="J480" s="36" t="n">
        <f aca="false">F480*I480</f>
        <v>9</v>
      </c>
      <c r="K480" s="36" t="n">
        <f aca="false">H480-J480</f>
        <v>6</v>
      </c>
    </row>
    <row r="481" customFormat="false" ht="15" hidden="false" customHeight="false" outlineLevel="0" collapsed="false">
      <c r="A481" s="41" t="n">
        <v>46233</v>
      </c>
      <c r="B481" s="42" t="n">
        <f aca="false">DATE(YEAR(A481),MONTH(A481),1)</f>
        <v>46204</v>
      </c>
      <c r="C481" s="3" t="s">
        <v>55</v>
      </c>
      <c r="D481" s="3" t="s">
        <v>56</v>
      </c>
      <c r="E481" s="3" t="s">
        <v>29</v>
      </c>
      <c r="F481" s="3" t="n">
        <v>5</v>
      </c>
      <c r="G481" s="36" t="n">
        <v>2.5</v>
      </c>
      <c r="H481" s="36" t="n">
        <f aca="false">F481*G481</f>
        <v>12.5</v>
      </c>
      <c r="I481" s="36" t="n">
        <f aca="false">INDEX(Inventory!$D$2:$D$17,MATCH(C481,Inventory!$A$2:$A$17,0))</f>
        <v>1.6</v>
      </c>
      <c r="J481" s="36" t="n">
        <f aca="false">F481*I481</f>
        <v>8</v>
      </c>
      <c r="K481" s="36" t="n">
        <f aca="false">H481-J481</f>
        <v>4.5</v>
      </c>
    </row>
    <row r="482" customFormat="false" ht="15" hidden="false" customHeight="false" outlineLevel="0" collapsed="false">
      <c r="A482" s="41" t="n">
        <v>46234</v>
      </c>
      <c r="B482" s="42" t="n">
        <f aca="false">DATE(YEAR(A482),MONTH(A482),1)</f>
        <v>46204</v>
      </c>
      <c r="C482" s="3" t="s">
        <v>39</v>
      </c>
      <c r="D482" s="3" t="s">
        <v>40</v>
      </c>
      <c r="E482" s="3" t="s">
        <v>27</v>
      </c>
      <c r="F482" s="3" t="n">
        <v>29</v>
      </c>
      <c r="G482" s="36" t="n">
        <v>1</v>
      </c>
      <c r="H482" s="36" t="n">
        <f aca="false">F482*G482</f>
        <v>29</v>
      </c>
      <c r="I482" s="36" t="n">
        <f aca="false">INDEX(Inventory!$D$2:$D$17,MATCH(C482,Inventory!$A$2:$A$17,0))</f>
        <v>0.6</v>
      </c>
      <c r="J482" s="36" t="n">
        <f aca="false">F482*I482</f>
        <v>17.4</v>
      </c>
      <c r="K482" s="36" t="n">
        <f aca="false">H482-J482</f>
        <v>11.6</v>
      </c>
    </row>
    <row r="483" customFormat="false" ht="15" hidden="false" customHeight="false" outlineLevel="0" collapsed="false">
      <c r="A483" s="41" t="n">
        <v>46234</v>
      </c>
      <c r="B483" s="42" t="n">
        <f aca="false">DATE(YEAR(A483),MONTH(A483),1)</f>
        <v>46204</v>
      </c>
      <c r="C483" s="3" t="s">
        <v>53</v>
      </c>
      <c r="D483" s="3" t="s">
        <v>54</v>
      </c>
      <c r="E483" s="3" t="s">
        <v>27</v>
      </c>
      <c r="F483" s="3" t="n">
        <v>21</v>
      </c>
      <c r="G483" s="36" t="n">
        <v>0.95</v>
      </c>
      <c r="H483" s="36" t="n">
        <f aca="false">F483*G483</f>
        <v>19.95</v>
      </c>
      <c r="I483" s="36" t="n">
        <f aca="false">INDEX(Inventory!$D$2:$D$17,MATCH(C483,Inventory!$A$2:$A$17,0))</f>
        <v>0.55</v>
      </c>
      <c r="J483" s="36" t="n">
        <f aca="false">F483*I483</f>
        <v>11.55</v>
      </c>
      <c r="K483" s="36" t="n">
        <f aca="false">H483-J483</f>
        <v>8.4</v>
      </c>
    </row>
    <row r="484" customFormat="false" ht="15" hidden="false" customHeight="false" outlineLevel="0" collapsed="false">
      <c r="A484" s="41" t="n">
        <v>46234</v>
      </c>
      <c r="B484" s="42" t="n">
        <f aca="false">DATE(YEAR(A484),MONTH(A484),1)</f>
        <v>46204</v>
      </c>
      <c r="C484" s="3" t="s">
        <v>59</v>
      </c>
      <c r="D484" s="3" t="s">
        <v>60</v>
      </c>
      <c r="E484" s="3" t="s">
        <v>27</v>
      </c>
      <c r="F484" s="3" t="n">
        <v>27</v>
      </c>
      <c r="G484" s="36" t="n">
        <v>0.6</v>
      </c>
      <c r="H484" s="36" t="n">
        <f aca="false">F484*G484</f>
        <v>16.2</v>
      </c>
      <c r="I484" s="36" t="n">
        <f aca="false">INDEX(Inventory!$D$2:$D$17,MATCH(C484,Inventory!$A$2:$A$17,0))</f>
        <v>0.3</v>
      </c>
      <c r="J484" s="36" t="n">
        <f aca="false">F484*I484</f>
        <v>8.1</v>
      </c>
      <c r="K484" s="36" t="n">
        <f aca="false">H484-J484</f>
        <v>8.1</v>
      </c>
    </row>
    <row r="485" customFormat="false" ht="15" hidden="false" customHeight="false" outlineLevel="0" collapsed="false">
      <c r="A485" s="41" t="n">
        <v>46234</v>
      </c>
      <c r="B485" s="42" t="n">
        <f aca="false">DATE(YEAR(A485),MONTH(A485),1)</f>
        <v>46204</v>
      </c>
      <c r="C485" s="3" t="s">
        <v>57</v>
      </c>
      <c r="D485" s="3" t="s">
        <v>58</v>
      </c>
      <c r="E485" s="3" t="s">
        <v>27</v>
      </c>
      <c r="F485" s="3" t="n">
        <v>18</v>
      </c>
      <c r="G485" s="36" t="n">
        <v>1.5</v>
      </c>
      <c r="H485" s="36" t="n">
        <f aca="false">F485*G485</f>
        <v>27</v>
      </c>
      <c r="I485" s="36" t="n">
        <f aca="false">INDEX(Inventory!$D$2:$D$17,MATCH(C485,Inventory!$A$2:$A$17,0))</f>
        <v>0.9</v>
      </c>
      <c r="J485" s="36" t="n">
        <f aca="false">F485*I485</f>
        <v>16.2</v>
      </c>
      <c r="K485" s="36" t="n">
        <f aca="false">H485-J485</f>
        <v>10.8</v>
      </c>
    </row>
    <row r="486" customFormat="false" ht="15" hidden="false" customHeight="false" outlineLevel="0" collapsed="false">
      <c r="A486" s="41" t="n">
        <v>46234</v>
      </c>
      <c r="B486" s="42" t="n">
        <f aca="false">DATE(YEAR(A486),MONTH(A486),1)</f>
        <v>46204</v>
      </c>
      <c r="C486" s="3" t="s">
        <v>41</v>
      </c>
      <c r="D486" s="3" t="s">
        <v>42</v>
      </c>
      <c r="E486" s="3" t="s">
        <v>28</v>
      </c>
      <c r="F486" s="3" t="n">
        <v>30</v>
      </c>
      <c r="G486" s="36" t="n">
        <v>1.3</v>
      </c>
      <c r="H486" s="36" t="n">
        <f aca="false">F486*G486</f>
        <v>39</v>
      </c>
      <c r="I486" s="36" t="n">
        <f aca="false">INDEX(Inventory!$D$2:$D$17,MATCH(C486,Inventory!$A$2:$A$17,0))</f>
        <v>0.8</v>
      </c>
      <c r="J486" s="36" t="n">
        <f aca="false">F486*I486</f>
        <v>24</v>
      </c>
      <c r="K486" s="36" t="n">
        <f aca="false">H486-J486</f>
        <v>15</v>
      </c>
    </row>
    <row r="487" customFormat="false" ht="15" hidden="false" customHeight="false" outlineLevel="0" collapsed="false">
      <c r="A487" s="41" t="n">
        <v>46234</v>
      </c>
      <c r="B487" s="42" t="n">
        <f aca="false">DATE(YEAR(A487),MONTH(A487),1)</f>
        <v>46204</v>
      </c>
      <c r="C487" s="3" t="s">
        <v>63</v>
      </c>
      <c r="D487" s="3" t="s">
        <v>64</v>
      </c>
      <c r="E487" s="3" t="s">
        <v>28</v>
      </c>
      <c r="F487" s="3" t="n">
        <v>9</v>
      </c>
      <c r="G487" s="36" t="n">
        <v>0.9</v>
      </c>
      <c r="H487" s="36" t="n">
        <f aca="false">F487*G487</f>
        <v>8.1</v>
      </c>
      <c r="I487" s="36" t="n">
        <f aca="false">INDEX(Inventory!$D$2:$D$17,MATCH(C487,Inventory!$A$2:$A$17,0))</f>
        <v>0.5</v>
      </c>
      <c r="J487" s="36" t="n">
        <f aca="false">F487*I487</f>
        <v>4.5</v>
      </c>
      <c r="K487" s="36" t="n">
        <f aca="false">H487-J487</f>
        <v>3.6</v>
      </c>
    </row>
    <row r="488" customFormat="false" ht="15" hidden="false" customHeight="false" outlineLevel="0" collapsed="false">
      <c r="A488" s="41" t="n">
        <v>46234</v>
      </c>
      <c r="B488" s="42" t="n">
        <f aca="false">DATE(YEAR(A488),MONTH(A488),1)</f>
        <v>46204</v>
      </c>
      <c r="C488" s="3" t="s">
        <v>49</v>
      </c>
      <c r="D488" s="3" t="s">
        <v>50</v>
      </c>
      <c r="E488" s="3" t="s">
        <v>28</v>
      </c>
      <c r="F488" s="3" t="n">
        <v>13</v>
      </c>
      <c r="G488" s="36" t="n">
        <v>1.2</v>
      </c>
      <c r="H488" s="36" t="n">
        <f aca="false">F488*G488</f>
        <v>15.6</v>
      </c>
      <c r="I488" s="36" t="n">
        <f aca="false">INDEX(Inventory!$D$2:$D$17,MATCH(C488,Inventory!$A$2:$A$17,0))</f>
        <v>0.7</v>
      </c>
      <c r="J488" s="36" t="n">
        <f aca="false">F488*I488</f>
        <v>9.1</v>
      </c>
      <c r="K488" s="36" t="n">
        <f aca="false">H488-J488</f>
        <v>6.5</v>
      </c>
    </row>
    <row r="489" customFormat="false" ht="15" hidden="false" customHeight="false" outlineLevel="0" collapsed="false">
      <c r="A489" s="41" t="n">
        <v>46234</v>
      </c>
      <c r="B489" s="42" t="n">
        <f aca="false">DATE(YEAR(A489),MONTH(A489),1)</f>
        <v>46204</v>
      </c>
      <c r="C489" s="3" t="s">
        <v>51</v>
      </c>
      <c r="D489" s="3" t="s">
        <v>52</v>
      </c>
      <c r="E489" s="3" t="s">
        <v>28</v>
      </c>
      <c r="F489" s="3" t="n">
        <v>30</v>
      </c>
      <c r="G489" s="36" t="n">
        <v>0.85</v>
      </c>
      <c r="H489" s="36" t="n">
        <f aca="false">F489*G489</f>
        <v>25.5</v>
      </c>
      <c r="I489" s="36" t="n">
        <f aca="false">INDEX(Inventory!$D$2:$D$17,MATCH(C489,Inventory!$A$2:$A$17,0))</f>
        <v>0.45</v>
      </c>
      <c r="J489" s="36" t="n">
        <f aca="false">F489*I489</f>
        <v>13.5</v>
      </c>
      <c r="K489" s="36" t="n">
        <f aca="false">H489-J489</f>
        <v>12</v>
      </c>
    </row>
    <row r="490" customFormat="false" ht="15" hidden="false" customHeight="false" outlineLevel="0" collapsed="false">
      <c r="A490" s="41" t="n">
        <v>46234</v>
      </c>
      <c r="B490" s="42" t="n">
        <f aca="false">DATE(YEAR(A490),MONTH(A490),1)</f>
        <v>46204</v>
      </c>
      <c r="C490" s="3" t="s">
        <v>37</v>
      </c>
      <c r="D490" s="3" t="s">
        <v>38</v>
      </c>
      <c r="E490" s="3" t="s">
        <v>26</v>
      </c>
      <c r="F490" s="3" t="n">
        <v>20</v>
      </c>
      <c r="G490" s="36" t="n">
        <v>1.2</v>
      </c>
      <c r="H490" s="36" t="n">
        <f aca="false">F490*G490</f>
        <v>24</v>
      </c>
      <c r="I490" s="36" t="n">
        <f aca="false">INDEX(Inventory!$D$2:$D$17,MATCH(C490,Inventory!$A$2:$A$17,0))</f>
        <v>0.85</v>
      </c>
      <c r="J490" s="36" t="n">
        <f aca="false">F490*I490</f>
        <v>17</v>
      </c>
      <c r="K490" s="36" t="n">
        <f aca="false">H490-J490</f>
        <v>7</v>
      </c>
    </row>
    <row r="491" customFormat="false" ht="15" hidden="false" customHeight="false" outlineLevel="0" collapsed="false">
      <c r="A491" s="41" t="n">
        <v>46234</v>
      </c>
      <c r="B491" s="42" t="n">
        <f aca="false">DATE(YEAR(A491),MONTH(A491),1)</f>
        <v>46204</v>
      </c>
      <c r="C491" s="3" t="s">
        <v>47</v>
      </c>
      <c r="D491" s="3" t="s">
        <v>48</v>
      </c>
      <c r="E491" s="3" t="s">
        <v>26</v>
      </c>
      <c r="F491" s="3" t="n">
        <v>11</v>
      </c>
      <c r="G491" s="36" t="n">
        <v>2.2</v>
      </c>
      <c r="H491" s="36" t="n">
        <f aca="false">F491*G491</f>
        <v>24.2</v>
      </c>
      <c r="I491" s="36" t="n">
        <f aca="false">INDEX(Inventory!$D$2:$D$17,MATCH(C491,Inventory!$A$2:$A$17,0))</f>
        <v>1.4</v>
      </c>
      <c r="J491" s="36" t="n">
        <f aca="false">F491*I491</f>
        <v>15.4</v>
      </c>
      <c r="K491" s="36" t="n">
        <f aca="false">H491-J491</f>
        <v>8.8</v>
      </c>
    </row>
    <row r="492" customFormat="false" ht="15" hidden="false" customHeight="false" outlineLevel="0" collapsed="false">
      <c r="A492" s="41" t="n">
        <v>46234</v>
      </c>
      <c r="B492" s="42" t="n">
        <f aca="false">DATE(YEAR(A492),MONTH(A492),1)</f>
        <v>46204</v>
      </c>
      <c r="C492" s="3" t="s">
        <v>43</v>
      </c>
      <c r="D492" s="3" t="s">
        <v>44</v>
      </c>
      <c r="E492" s="3" t="s">
        <v>26</v>
      </c>
      <c r="F492" s="3" t="n">
        <v>8</v>
      </c>
      <c r="G492" s="36" t="n">
        <v>3.8</v>
      </c>
      <c r="H492" s="36" t="n">
        <f aca="false">F492*G492</f>
        <v>30.4</v>
      </c>
      <c r="I492" s="36" t="n">
        <f aca="false">INDEX(Inventory!$D$2:$D$17,MATCH(C492,Inventory!$A$2:$A$17,0))</f>
        <v>2.6</v>
      </c>
      <c r="J492" s="36" t="n">
        <f aca="false">F492*I492</f>
        <v>20.8</v>
      </c>
      <c r="K492" s="36" t="n">
        <f aca="false">H492-J492</f>
        <v>9.6</v>
      </c>
    </row>
    <row r="493" customFormat="false" ht="15" hidden="false" customHeight="false" outlineLevel="0" collapsed="false">
      <c r="A493" s="41" t="n">
        <v>46234</v>
      </c>
      <c r="B493" s="42" t="n">
        <f aca="false">DATE(YEAR(A493),MONTH(A493),1)</f>
        <v>46204</v>
      </c>
      <c r="C493" s="3" t="s">
        <v>67</v>
      </c>
      <c r="D493" s="3" t="s">
        <v>68</v>
      </c>
      <c r="E493" s="3" t="s">
        <v>26</v>
      </c>
      <c r="F493" s="3" t="n">
        <v>8</v>
      </c>
      <c r="G493" s="36" t="n">
        <v>1.9</v>
      </c>
      <c r="H493" s="36" t="n">
        <f aca="false">F493*G493</f>
        <v>15.2</v>
      </c>
      <c r="I493" s="36" t="n">
        <f aca="false">INDEX(Inventory!$D$2:$D$17,MATCH(C493,Inventory!$A$2:$A$17,0))</f>
        <v>1.3</v>
      </c>
      <c r="J493" s="36" t="n">
        <f aca="false">F493*I493</f>
        <v>10.4</v>
      </c>
      <c r="K493" s="36" t="n">
        <f aca="false">H493-J493</f>
        <v>4.8</v>
      </c>
    </row>
    <row r="494" customFormat="false" ht="15" hidden="false" customHeight="false" outlineLevel="0" collapsed="false">
      <c r="A494" s="41" t="n">
        <v>46234</v>
      </c>
      <c r="B494" s="42" t="n">
        <f aca="false">DATE(YEAR(A494),MONTH(A494),1)</f>
        <v>46204</v>
      </c>
      <c r="C494" s="3" t="s">
        <v>61</v>
      </c>
      <c r="D494" s="3" t="s">
        <v>62</v>
      </c>
      <c r="E494" s="3" t="s">
        <v>29</v>
      </c>
      <c r="F494" s="3" t="n">
        <v>10</v>
      </c>
      <c r="G494" s="36" t="n">
        <v>1.9</v>
      </c>
      <c r="H494" s="36" t="n">
        <f aca="false">F494*G494</f>
        <v>19</v>
      </c>
      <c r="I494" s="36" t="n">
        <f aca="false">INDEX(Inventory!$D$2:$D$17,MATCH(C494,Inventory!$A$2:$A$17,0))</f>
        <v>1.1</v>
      </c>
      <c r="J494" s="36" t="n">
        <f aca="false">F494*I494</f>
        <v>11</v>
      </c>
      <c r="K494" s="36" t="n">
        <f aca="false">H494-J494</f>
        <v>8</v>
      </c>
    </row>
    <row r="495" customFormat="false" ht="15" hidden="false" customHeight="false" outlineLevel="0" collapsed="false">
      <c r="A495" s="41" t="n">
        <v>46234</v>
      </c>
      <c r="B495" s="42" t="n">
        <f aca="false">DATE(YEAR(A495),MONTH(A495),1)</f>
        <v>46204</v>
      </c>
      <c r="C495" s="3" t="s">
        <v>45</v>
      </c>
      <c r="D495" s="3" t="s">
        <v>46</v>
      </c>
      <c r="E495" s="3" t="s">
        <v>29</v>
      </c>
      <c r="F495" s="3" t="n">
        <v>6</v>
      </c>
      <c r="G495" s="36" t="n">
        <v>5.2</v>
      </c>
      <c r="H495" s="36" t="n">
        <f aca="false">F495*G495</f>
        <v>31.2</v>
      </c>
      <c r="I495" s="36" t="n">
        <f aca="false">INDEX(Inventory!$D$2:$D$17,MATCH(C495,Inventory!$A$2:$A$17,0))</f>
        <v>3.5</v>
      </c>
      <c r="J495" s="36" t="n">
        <f aca="false">F495*I495</f>
        <v>21</v>
      </c>
      <c r="K495" s="36" t="n">
        <f aca="false">H495-J495</f>
        <v>10.2</v>
      </c>
    </row>
    <row r="496" customFormat="false" ht="15" hidden="false" customHeight="false" outlineLevel="0" collapsed="false">
      <c r="A496" s="41" t="n">
        <v>46234</v>
      </c>
      <c r="B496" s="42" t="n">
        <f aca="false">DATE(YEAR(A496),MONTH(A496),1)</f>
        <v>46204</v>
      </c>
      <c r="C496" s="3" t="s">
        <v>65</v>
      </c>
      <c r="D496" s="3" t="s">
        <v>66</v>
      </c>
      <c r="E496" s="3" t="s">
        <v>29</v>
      </c>
      <c r="F496" s="3" t="n">
        <v>8</v>
      </c>
      <c r="G496" s="36" t="n">
        <v>1.5</v>
      </c>
      <c r="H496" s="36" t="n">
        <f aca="false">F496*G496</f>
        <v>12</v>
      </c>
      <c r="I496" s="36" t="n">
        <f aca="false">INDEX(Inventory!$D$2:$D$17,MATCH(C496,Inventory!$A$2:$A$17,0))</f>
        <v>0.9</v>
      </c>
      <c r="J496" s="36" t="n">
        <f aca="false">F496*I496</f>
        <v>7.2</v>
      </c>
      <c r="K496" s="36" t="n">
        <f aca="false">H496-J496</f>
        <v>4.8</v>
      </c>
    </row>
    <row r="497" customFormat="false" ht="15" hidden="false" customHeight="false" outlineLevel="0" collapsed="false">
      <c r="A497" s="41" t="n">
        <v>46234</v>
      </c>
      <c r="B497" s="42" t="n">
        <f aca="false">DATE(YEAR(A497),MONTH(A497),1)</f>
        <v>46204</v>
      </c>
      <c r="C497" s="3" t="s">
        <v>55</v>
      </c>
      <c r="D497" s="3" t="s">
        <v>56</v>
      </c>
      <c r="E497" s="3" t="s">
        <v>29</v>
      </c>
      <c r="F497" s="3" t="n">
        <v>10</v>
      </c>
      <c r="G497" s="36" t="n">
        <v>2.5</v>
      </c>
      <c r="H497" s="36" t="n">
        <f aca="false">F497*G497</f>
        <v>25</v>
      </c>
      <c r="I497" s="36" t="n">
        <f aca="false">INDEX(Inventory!$D$2:$D$17,MATCH(C497,Inventory!$A$2:$A$17,0))</f>
        <v>1.6</v>
      </c>
      <c r="J497" s="36" t="n">
        <f aca="false">F497*I497</f>
        <v>16</v>
      </c>
      <c r="K497" s="36" t="n">
        <f aca="false">H497-J497</f>
        <v>9</v>
      </c>
    </row>
    <row r="498" customFormat="false" ht="15" hidden="false" customHeight="false" outlineLevel="0" collapsed="false">
      <c r="A498" s="41" t="n">
        <v>46235</v>
      </c>
      <c r="B498" s="42" t="n">
        <f aca="false">DATE(YEAR(A498),MONTH(A498),1)</f>
        <v>46235</v>
      </c>
      <c r="C498" s="3" t="s">
        <v>39</v>
      </c>
      <c r="D498" s="3" t="s">
        <v>40</v>
      </c>
      <c r="E498" s="3" t="s">
        <v>27</v>
      </c>
      <c r="F498" s="3" t="n">
        <v>33</v>
      </c>
      <c r="G498" s="36" t="n">
        <v>1</v>
      </c>
      <c r="H498" s="36" t="n">
        <f aca="false">F498*G498</f>
        <v>33</v>
      </c>
      <c r="I498" s="36" t="n">
        <f aca="false">INDEX(Inventory!$D$2:$D$17,MATCH(C498,Inventory!$A$2:$A$17,0))</f>
        <v>0.6</v>
      </c>
      <c r="J498" s="36" t="n">
        <f aca="false">F498*I498</f>
        <v>19.8</v>
      </c>
      <c r="K498" s="36" t="n">
        <f aca="false">H498-J498</f>
        <v>13.2</v>
      </c>
    </row>
    <row r="499" customFormat="false" ht="15" hidden="false" customHeight="false" outlineLevel="0" collapsed="false">
      <c r="A499" s="41" t="n">
        <v>46235</v>
      </c>
      <c r="B499" s="42" t="n">
        <f aca="false">DATE(YEAR(A499),MONTH(A499),1)</f>
        <v>46235</v>
      </c>
      <c r="C499" s="3" t="s">
        <v>53</v>
      </c>
      <c r="D499" s="3" t="s">
        <v>54</v>
      </c>
      <c r="E499" s="3" t="s">
        <v>27</v>
      </c>
      <c r="F499" s="3" t="n">
        <v>27</v>
      </c>
      <c r="G499" s="36" t="n">
        <v>0.95</v>
      </c>
      <c r="H499" s="36" t="n">
        <f aca="false">F499*G499</f>
        <v>25.65</v>
      </c>
      <c r="I499" s="36" t="n">
        <f aca="false">INDEX(Inventory!$D$2:$D$17,MATCH(C499,Inventory!$A$2:$A$17,0))</f>
        <v>0.55</v>
      </c>
      <c r="J499" s="36" t="n">
        <f aca="false">F499*I499</f>
        <v>14.85</v>
      </c>
      <c r="K499" s="36" t="n">
        <f aca="false">H499-J499</f>
        <v>10.8</v>
      </c>
    </row>
    <row r="500" customFormat="false" ht="15" hidden="false" customHeight="false" outlineLevel="0" collapsed="false">
      <c r="A500" s="41" t="n">
        <v>46235</v>
      </c>
      <c r="B500" s="42" t="n">
        <f aca="false">DATE(YEAR(A500),MONTH(A500),1)</f>
        <v>46235</v>
      </c>
      <c r="C500" s="3" t="s">
        <v>59</v>
      </c>
      <c r="D500" s="3" t="s">
        <v>60</v>
      </c>
      <c r="E500" s="3" t="s">
        <v>27</v>
      </c>
      <c r="F500" s="3" t="n">
        <v>38</v>
      </c>
      <c r="G500" s="36" t="n">
        <v>0.6</v>
      </c>
      <c r="H500" s="36" t="n">
        <f aca="false">F500*G500</f>
        <v>22.8</v>
      </c>
      <c r="I500" s="36" t="n">
        <f aca="false">INDEX(Inventory!$D$2:$D$17,MATCH(C500,Inventory!$A$2:$A$17,0))</f>
        <v>0.3</v>
      </c>
      <c r="J500" s="36" t="n">
        <f aca="false">F500*I500</f>
        <v>11.4</v>
      </c>
      <c r="K500" s="36" t="n">
        <f aca="false">H500-J500</f>
        <v>11.4</v>
      </c>
    </row>
    <row r="501" customFormat="false" ht="15" hidden="false" customHeight="false" outlineLevel="0" collapsed="false">
      <c r="A501" s="41" t="n">
        <v>46235</v>
      </c>
      <c r="B501" s="42" t="n">
        <f aca="false">DATE(YEAR(A501),MONTH(A501),1)</f>
        <v>46235</v>
      </c>
      <c r="C501" s="3" t="s">
        <v>57</v>
      </c>
      <c r="D501" s="3" t="s">
        <v>58</v>
      </c>
      <c r="E501" s="3" t="s">
        <v>27</v>
      </c>
      <c r="F501" s="3" t="n">
        <v>17</v>
      </c>
      <c r="G501" s="36" t="n">
        <v>1.5</v>
      </c>
      <c r="H501" s="36" t="n">
        <f aca="false">F501*G501</f>
        <v>25.5</v>
      </c>
      <c r="I501" s="36" t="n">
        <f aca="false">INDEX(Inventory!$D$2:$D$17,MATCH(C501,Inventory!$A$2:$A$17,0))</f>
        <v>0.9</v>
      </c>
      <c r="J501" s="36" t="n">
        <f aca="false">F501*I501</f>
        <v>15.3</v>
      </c>
      <c r="K501" s="36" t="n">
        <f aca="false">H501-J501</f>
        <v>10.2</v>
      </c>
    </row>
    <row r="502" customFormat="false" ht="15" hidden="false" customHeight="false" outlineLevel="0" collapsed="false">
      <c r="A502" s="41" t="n">
        <v>46235</v>
      </c>
      <c r="B502" s="42" t="n">
        <f aca="false">DATE(YEAR(A502),MONTH(A502),1)</f>
        <v>46235</v>
      </c>
      <c r="C502" s="3" t="s">
        <v>41</v>
      </c>
      <c r="D502" s="3" t="s">
        <v>42</v>
      </c>
      <c r="E502" s="3" t="s">
        <v>28</v>
      </c>
      <c r="F502" s="3" t="n">
        <v>27</v>
      </c>
      <c r="G502" s="36" t="n">
        <v>1.3</v>
      </c>
      <c r="H502" s="36" t="n">
        <f aca="false">F502*G502</f>
        <v>35.1</v>
      </c>
      <c r="I502" s="36" t="n">
        <f aca="false">INDEX(Inventory!$D$2:$D$17,MATCH(C502,Inventory!$A$2:$A$17,0))</f>
        <v>0.8</v>
      </c>
      <c r="J502" s="36" t="n">
        <f aca="false">F502*I502</f>
        <v>21.6</v>
      </c>
      <c r="K502" s="36" t="n">
        <f aca="false">H502-J502</f>
        <v>13.5</v>
      </c>
    </row>
    <row r="503" customFormat="false" ht="15" hidden="false" customHeight="false" outlineLevel="0" collapsed="false">
      <c r="A503" s="41" t="n">
        <v>46235</v>
      </c>
      <c r="B503" s="42" t="n">
        <f aca="false">DATE(YEAR(A503),MONTH(A503),1)</f>
        <v>46235</v>
      </c>
      <c r="C503" s="3" t="s">
        <v>63</v>
      </c>
      <c r="D503" s="3" t="s">
        <v>64</v>
      </c>
      <c r="E503" s="3" t="s">
        <v>28</v>
      </c>
      <c r="F503" s="3" t="n">
        <v>19</v>
      </c>
      <c r="G503" s="36" t="n">
        <v>0.9</v>
      </c>
      <c r="H503" s="36" t="n">
        <f aca="false">F503*G503</f>
        <v>17.1</v>
      </c>
      <c r="I503" s="36" t="n">
        <f aca="false">INDEX(Inventory!$D$2:$D$17,MATCH(C503,Inventory!$A$2:$A$17,0))</f>
        <v>0.5</v>
      </c>
      <c r="J503" s="36" t="n">
        <f aca="false">F503*I503</f>
        <v>9.5</v>
      </c>
      <c r="K503" s="36" t="n">
        <f aca="false">H503-J503</f>
        <v>7.6</v>
      </c>
    </row>
    <row r="504" customFormat="false" ht="15" hidden="false" customHeight="false" outlineLevel="0" collapsed="false">
      <c r="A504" s="41" t="n">
        <v>46235</v>
      </c>
      <c r="B504" s="42" t="n">
        <f aca="false">DATE(YEAR(A504),MONTH(A504),1)</f>
        <v>46235</v>
      </c>
      <c r="C504" s="3" t="s">
        <v>49</v>
      </c>
      <c r="D504" s="3" t="s">
        <v>50</v>
      </c>
      <c r="E504" s="3" t="s">
        <v>28</v>
      </c>
      <c r="F504" s="3" t="n">
        <v>18</v>
      </c>
      <c r="G504" s="36" t="n">
        <v>1.2</v>
      </c>
      <c r="H504" s="36" t="n">
        <f aca="false">F504*G504</f>
        <v>21.6</v>
      </c>
      <c r="I504" s="36" t="n">
        <f aca="false">INDEX(Inventory!$D$2:$D$17,MATCH(C504,Inventory!$A$2:$A$17,0))</f>
        <v>0.7</v>
      </c>
      <c r="J504" s="36" t="n">
        <f aca="false">F504*I504</f>
        <v>12.6</v>
      </c>
      <c r="K504" s="36" t="n">
        <f aca="false">H504-J504</f>
        <v>9</v>
      </c>
    </row>
    <row r="505" customFormat="false" ht="15" hidden="false" customHeight="false" outlineLevel="0" collapsed="false">
      <c r="A505" s="41" t="n">
        <v>46235</v>
      </c>
      <c r="B505" s="42" t="n">
        <f aca="false">DATE(YEAR(A505),MONTH(A505),1)</f>
        <v>46235</v>
      </c>
      <c r="C505" s="3" t="s">
        <v>51</v>
      </c>
      <c r="D505" s="3" t="s">
        <v>52</v>
      </c>
      <c r="E505" s="3" t="s">
        <v>28</v>
      </c>
      <c r="F505" s="3" t="n">
        <v>35</v>
      </c>
      <c r="G505" s="36" t="n">
        <v>0.85</v>
      </c>
      <c r="H505" s="36" t="n">
        <f aca="false">F505*G505</f>
        <v>29.75</v>
      </c>
      <c r="I505" s="36" t="n">
        <f aca="false">INDEX(Inventory!$D$2:$D$17,MATCH(C505,Inventory!$A$2:$A$17,0))</f>
        <v>0.45</v>
      </c>
      <c r="J505" s="36" t="n">
        <f aca="false">F505*I505</f>
        <v>15.75</v>
      </c>
      <c r="K505" s="36" t="n">
        <f aca="false">H505-J505</f>
        <v>14</v>
      </c>
    </row>
    <row r="506" customFormat="false" ht="15" hidden="false" customHeight="false" outlineLevel="0" collapsed="false">
      <c r="A506" s="41" t="n">
        <v>46235</v>
      </c>
      <c r="B506" s="42" t="n">
        <f aca="false">DATE(YEAR(A506),MONTH(A506),1)</f>
        <v>46235</v>
      </c>
      <c r="C506" s="3" t="s">
        <v>37</v>
      </c>
      <c r="D506" s="3" t="s">
        <v>38</v>
      </c>
      <c r="E506" s="3" t="s">
        <v>26</v>
      </c>
      <c r="F506" s="3" t="n">
        <v>42</v>
      </c>
      <c r="G506" s="36" t="n">
        <v>1.2</v>
      </c>
      <c r="H506" s="36" t="n">
        <f aca="false">F506*G506</f>
        <v>50.4</v>
      </c>
      <c r="I506" s="36" t="n">
        <f aca="false">INDEX(Inventory!$D$2:$D$17,MATCH(C506,Inventory!$A$2:$A$17,0))</f>
        <v>0.85</v>
      </c>
      <c r="J506" s="36" t="n">
        <f aca="false">F506*I506</f>
        <v>35.7</v>
      </c>
      <c r="K506" s="36" t="n">
        <f aca="false">H506-J506</f>
        <v>14.7</v>
      </c>
    </row>
    <row r="507" customFormat="false" ht="15" hidden="false" customHeight="false" outlineLevel="0" collapsed="false">
      <c r="A507" s="41" t="n">
        <v>46235</v>
      </c>
      <c r="B507" s="42" t="n">
        <f aca="false">DATE(YEAR(A507),MONTH(A507),1)</f>
        <v>46235</v>
      </c>
      <c r="C507" s="3" t="s">
        <v>47</v>
      </c>
      <c r="D507" s="3" t="s">
        <v>48</v>
      </c>
      <c r="E507" s="3" t="s">
        <v>26</v>
      </c>
      <c r="F507" s="3" t="n">
        <v>15</v>
      </c>
      <c r="G507" s="36" t="n">
        <v>2.2</v>
      </c>
      <c r="H507" s="36" t="n">
        <f aca="false">F507*G507</f>
        <v>33</v>
      </c>
      <c r="I507" s="36" t="n">
        <f aca="false">INDEX(Inventory!$D$2:$D$17,MATCH(C507,Inventory!$A$2:$A$17,0))</f>
        <v>1.4</v>
      </c>
      <c r="J507" s="36" t="n">
        <f aca="false">F507*I507</f>
        <v>21</v>
      </c>
      <c r="K507" s="36" t="n">
        <f aca="false">H507-J507</f>
        <v>12</v>
      </c>
    </row>
    <row r="508" customFormat="false" ht="15" hidden="false" customHeight="false" outlineLevel="0" collapsed="false">
      <c r="A508" s="41" t="n">
        <v>46235</v>
      </c>
      <c r="B508" s="42" t="n">
        <f aca="false">DATE(YEAR(A508),MONTH(A508),1)</f>
        <v>46235</v>
      </c>
      <c r="C508" s="3" t="s">
        <v>43</v>
      </c>
      <c r="D508" s="3" t="s">
        <v>44</v>
      </c>
      <c r="E508" s="3" t="s">
        <v>26</v>
      </c>
      <c r="F508" s="3" t="n">
        <v>11</v>
      </c>
      <c r="G508" s="36" t="n">
        <v>3.8</v>
      </c>
      <c r="H508" s="36" t="n">
        <f aca="false">F508*G508</f>
        <v>41.8</v>
      </c>
      <c r="I508" s="36" t="n">
        <f aca="false">INDEX(Inventory!$D$2:$D$17,MATCH(C508,Inventory!$A$2:$A$17,0))</f>
        <v>2.6</v>
      </c>
      <c r="J508" s="36" t="n">
        <f aca="false">F508*I508</f>
        <v>28.6</v>
      </c>
      <c r="K508" s="36" t="n">
        <f aca="false">H508-J508</f>
        <v>13.2</v>
      </c>
    </row>
    <row r="509" customFormat="false" ht="15" hidden="false" customHeight="false" outlineLevel="0" collapsed="false">
      <c r="A509" s="41" t="n">
        <v>46235</v>
      </c>
      <c r="B509" s="42" t="n">
        <f aca="false">DATE(YEAR(A509),MONTH(A509),1)</f>
        <v>46235</v>
      </c>
      <c r="C509" s="3" t="s">
        <v>67</v>
      </c>
      <c r="D509" s="3" t="s">
        <v>68</v>
      </c>
      <c r="E509" s="3" t="s">
        <v>26</v>
      </c>
      <c r="F509" s="3" t="n">
        <v>10</v>
      </c>
      <c r="G509" s="36" t="n">
        <v>1.9</v>
      </c>
      <c r="H509" s="36" t="n">
        <f aca="false">F509*G509</f>
        <v>19</v>
      </c>
      <c r="I509" s="36" t="n">
        <f aca="false">INDEX(Inventory!$D$2:$D$17,MATCH(C509,Inventory!$A$2:$A$17,0))</f>
        <v>1.3</v>
      </c>
      <c r="J509" s="36" t="n">
        <f aca="false">F509*I509</f>
        <v>13</v>
      </c>
      <c r="K509" s="36" t="n">
        <f aca="false">H509-J509</f>
        <v>6</v>
      </c>
    </row>
    <row r="510" customFormat="false" ht="15" hidden="false" customHeight="false" outlineLevel="0" collapsed="false">
      <c r="A510" s="41" t="n">
        <v>46235</v>
      </c>
      <c r="B510" s="42" t="n">
        <f aca="false">DATE(YEAR(A510),MONTH(A510),1)</f>
        <v>46235</v>
      </c>
      <c r="C510" s="3" t="s">
        <v>61</v>
      </c>
      <c r="D510" s="3" t="s">
        <v>62</v>
      </c>
      <c r="E510" s="3" t="s">
        <v>29</v>
      </c>
      <c r="F510" s="3" t="n">
        <v>15</v>
      </c>
      <c r="G510" s="36" t="n">
        <v>1.9</v>
      </c>
      <c r="H510" s="36" t="n">
        <f aca="false">F510*G510</f>
        <v>28.5</v>
      </c>
      <c r="I510" s="36" t="n">
        <f aca="false">INDEX(Inventory!$D$2:$D$17,MATCH(C510,Inventory!$A$2:$A$17,0))</f>
        <v>1.1</v>
      </c>
      <c r="J510" s="36" t="n">
        <f aca="false">F510*I510</f>
        <v>16.5</v>
      </c>
      <c r="K510" s="36" t="n">
        <f aca="false">H510-J510</f>
        <v>12</v>
      </c>
    </row>
    <row r="511" customFormat="false" ht="15" hidden="false" customHeight="false" outlineLevel="0" collapsed="false">
      <c r="A511" s="41" t="n">
        <v>46235</v>
      </c>
      <c r="B511" s="42" t="n">
        <f aca="false">DATE(YEAR(A511),MONTH(A511),1)</f>
        <v>46235</v>
      </c>
      <c r="C511" s="3" t="s">
        <v>45</v>
      </c>
      <c r="D511" s="3" t="s">
        <v>46</v>
      </c>
      <c r="E511" s="3" t="s">
        <v>29</v>
      </c>
      <c r="F511" s="3" t="n">
        <v>7</v>
      </c>
      <c r="G511" s="36" t="n">
        <v>5.2</v>
      </c>
      <c r="H511" s="36" t="n">
        <f aca="false">F511*G511</f>
        <v>36.4</v>
      </c>
      <c r="I511" s="36" t="n">
        <f aca="false">INDEX(Inventory!$D$2:$D$17,MATCH(C511,Inventory!$A$2:$A$17,0))</f>
        <v>3.5</v>
      </c>
      <c r="J511" s="36" t="n">
        <f aca="false">F511*I511</f>
        <v>24.5</v>
      </c>
      <c r="K511" s="36" t="n">
        <f aca="false">H511-J511</f>
        <v>11.9</v>
      </c>
    </row>
    <row r="512" customFormat="false" ht="15" hidden="false" customHeight="false" outlineLevel="0" collapsed="false">
      <c r="A512" s="41" t="n">
        <v>46235</v>
      </c>
      <c r="B512" s="42" t="n">
        <f aca="false">DATE(YEAR(A512),MONTH(A512),1)</f>
        <v>46235</v>
      </c>
      <c r="C512" s="3" t="s">
        <v>65</v>
      </c>
      <c r="D512" s="3" t="s">
        <v>66</v>
      </c>
      <c r="E512" s="3" t="s">
        <v>29</v>
      </c>
      <c r="F512" s="3" t="n">
        <v>12</v>
      </c>
      <c r="G512" s="36" t="n">
        <v>1.5</v>
      </c>
      <c r="H512" s="36" t="n">
        <f aca="false">F512*G512</f>
        <v>18</v>
      </c>
      <c r="I512" s="36" t="n">
        <f aca="false">INDEX(Inventory!$D$2:$D$17,MATCH(C512,Inventory!$A$2:$A$17,0))</f>
        <v>0.9</v>
      </c>
      <c r="J512" s="36" t="n">
        <f aca="false">F512*I512</f>
        <v>10.8</v>
      </c>
      <c r="K512" s="36" t="n">
        <f aca="false">H512-J512</f>
        <v>7.2</v>
      </c>
    </row>
    <row r="513" customFormat="false" ht="15" hidden="false" customHeight="false" outlineLevel="0" collapsed="false">
      <c r="A513" s="41" t="n">
        <v>46235</v>
      </c>
      <c r="B513" s="42" t="n">
        <f aca="false">DATE(YEAR(A513),MONTH(A513),1)</f>
        <v>46235</v>
      </c>
      <c r="C513" s="3" t="s">
        <v>55</v>
      </c>
      <c r="D513" s="3" t="s">
        <v>56</v>
      </c>
      <c r="E513" s="3" t="s">
        <v>29</v>
      </c>
      <c r="F513" s="3" t="n">
        <v>11</v>
      </c>
      <c r="G513" s="36" t="n">
        <v>2.5</v>
      </c>
      <c r="H513" s="36" t="n">
        <f aca="false">F513*G513</f>
        <v>27.5</v>
      </c>
      <c r="I513" s="36" t="n">
        <f aca="false">INDEX(Inventory!$D$2:$D$17,MATCH(C513,Inventory!$A$2:$A$17,0))</f>
        <v>1.6</v>
      </c>
      <c r="J513" s="36" t="n">
        <f aca="false">F513*I513</f>
        <v>17.6</v>
      </c>
      <c r="K513" s="36" t="n">
        <f aca="false">H513-J513</f>
        <v>9.9</v>
      </c>
    </row>
    <row r="514" customFormat="false" ht="15" hidden="false" customHeight="false" outlineLevel="0" collapsed="false">
      <c r="A514" s="41" t="n">
        <v>46236</v>
      </c>
      <c r="B514" s="42" t="n">
        <f aca="false">DATE(YEAR(A514),MONTH(A514),1)</f>
        <v>46235</v>
      </c>
      <c r="C514" s="3" t="s">
        <v>39</v>
      </c>
      <c r="D514" s="3" t="s">
        <v>40</v>
      </c>
      <c r="E514" s="3" t="s">
        <v>27</v>
      </c>
      <c r="F514" s="3" t="n">
        <v>36</v>
      </c>
      <c r="G514" s="36" t="n">
        <v>1</v>
      </c>
      <c r="H514" s="36" t="n">
        <f aca="false">F514*G514</f>
        <v>36</v>
      </c>
      <c r="I514" s="36" t="n">
        <f aca="false">INDEX(Inventory!$D$2:$D$17,MATCH(C514,Inventory!$A$2:$A$17,0))</f>
        <v>0.6</v>
      </c>
      <c r="J514" s="36" t="n">
        <f aca="false">F514*I514</f>
        <v>21.6</v>
      </c>
      <c r="K514" s="36" t="n">
        <f aca="false">H514-J514</f>
        <v>14.4</v>
      </c>
    </row>
    <row r="515" customFormat="false" ht="15" hidden="false" customHeight="false" outlineLevel="0" collapsed="false">
      <c r="A515" s="41" t="n">
        <v>46236</v>
      </c>
      <c r="B515" s="42" t="n">
        <f aca="false">DATE(YEAR(A515),MONTH(A515),1)</f>
        <v>46235</v>
      </c>
      <c r="C515" s="3" t="s">
        <v>53</v>
      </c>
      <c r="D515" s="3" t="s">
        <v>54</v>
      </c>
      <c r="E515" s="3" t="s">
        <v>27</v>
      </c>
      <c r="F515" s="3" t="n">
        <v>20</v>
      </c>
      <c r="G515" s="36" t="n">
        <v>0.95</v>
      </c>
      <c r="H515" s="36" t="n">
        <f aca="false">F515*G515</f>
        <v>19</v>
      </c>
      <c r="I515" s="36" t="n">
        <f aca="false">INDEX(Inventory!$D$2:$D$17,MATCH(C515,Inventory!$A$2:$A$17,0))</f>
        <v>0.55</v>
      </c>
      <c r="J515" s="36" t="n">
        <f aca="false">F515*I515</f>
        <v>11</v>
      </c>
      <c r="K515" s="36" t="n">
        <f aca="false">H515-J515</f>
        <v>8</v>
      </c>
    </row>
    <row r="516" customFormat="false" ht="15" hidden="false" customHeight="false" outlineLevel="0" collapsed="false">
      <c r="A516" s="41" t="n">
        <v>46236</v>
      </c>
      <c r="B516" s="42" t="n">
        <f aca="false">DATE(YEAR(A516),MONTH(A516),1)</f>
        <v>46235</v>
      </c>
      <c r="C516" s="3" t="s">
        <v>59</v>
      </c>
      <c r="D516" s="3" t="s">
        <v>60</v>
      </c>
      <c r="E516" s="3" t="s">
        <v>27</v>
      </c>
      <c r="F516" s="3" t="n">
        <v>41</v>
      </c>
      <c r="G516" s="36" t="n">
        <v>0.6</v>
      </c>
      <c r="H516" s="36" t="n">
        <f aca="false">F516*G516</f>
        <v>24.6</v>
      </c>
      <c r="I516" s="36" t="n">
        <f aca="false">INDEX(Inventory!$D$2:$D$17,MATCH(C516,Inventory!$A$2:$A$17,0))</f>
        <v>0.3</v>
      </c>
      <c r="J516" s="36" t="n">
        <f aca="false">F516*I516</f>
        <v>12.3</v>
      </c>
      <c r="K516" s="36" t="n">
        <f aca="false">H516-J516</f>
        <v>12.3</v>
      </c>
    </row>
    <row r="517" customFormat="false" ht="15" hidden="false" customHeight="false" outlineLevel="0" collapsed="false">
      <c r="A517" s="41" t="n">
        <v>46236</v>
      </c>
      <c r="B517" s="42" t="n">
        <f aca="false">DATE(YEAR(A517),MONTH(A517),1)</f>
        <v>46235</v>
      </c>
      <c r="C517" s="3" t="s">
        <v>57</v>
      </c>
      <c r="D517" s="3" t="s">
        <v>58</v>
      </c>
      <c r="E517" s="3" t="s">
        <v>27</v>
      </c>
      <c r="F517" s="3" t="n">
        <v>11</v>
      </c>
      <c r="G517" s="36" t="n">
        <v>1.5</v>
      </c>
      <c r="H517" s="36" t="n">
        <f aca="false">F517*G517</f>
        <v>16.5</v>
      </c>
      <c r="I517" s="36" t="n">
        <f aca="false">INDEX(Inventory!$D$2:$D$17,MATCH(C517,Inventory!$A$2:$A$17,0))</f>
        <v>0.9</v>
      </c>
      <c r="J517" s="36" t="n">
        <f aca="false">F517*I517</f>
        <v>9.9</v>
      </c>
      <c r="K517" s="36" t="n">
        <f aca="false">H517-J517</f>
        <v>6.6</v>
      </c>
    </row>
    <row r="518" customFormat="false" ht="15" hidden="false" customHeight="false" outlineLevel="0" collapsed="false">
      <c r="A518" s="41" t="n">
        <v>46236</v>
      </c>
      <c r="B518" s="42" t="n">
        <f aca="false">DATE(YEAR(A518),MONTH(A518),1)</f>
        <v>46235</v>
      </c>
      <c r="C518" s="3" t="s">
        <v>41</v>
      </c>
      <c r="D518" s="3" t="s">
        <v>42</v>
      </c>
      <c r="E518" s="3" t="s">
        <v>28</v>
      </c>
      <c r="F518" s="3" t="n">
        <v>27</v>
      </c>
      <c r="G518" s="36" t="n">
        <v>1.3</v>
      </c>
      <c r="H518" s="36" t="n">
        <f aca="false">F518*G518</f>
        <v>35.1</v>
      </c>
      <c r="I518" s="36" t="n">
        <f aca="false">INDEX(Inventory!$D$2:$D$17,MATCH(C518,Inventory!$A$2:$A$17,0))</f>
        <v>0.8</v>
      </c>
      <c r="J518" s="36" t="n">
        <f aca="false">F518*I518</f>
        <v>21.6</v>
      </c>
      <c r="K518" s="36" t="n">
        <f aca="false">H518-J518</f>
        <v>13.5</v>
      </c>
    </row>
    <row r="519" customFormat="false" ht="15" hidden="false" customHeight="false" outlineLevel="0" collapsed="false">
      <c r="A519" s="41" t="n">
        <v>46236</v>
      </c>
      <c r="B519" s="42" t="n">
        <f aca="false">DATE(YEAR(A519),MONTH(A519),1)</f>
        <v>46235</v>
      </c>
      <c r="C519" s="3" t="s">
        <v>63</v>
      </c>
      <c r="D519" s="3" t="s">
        <v>64</v>
      </c>
      <c r="E519" s="3" t="s">
        <v>28</v>
      </c>
      <c r="F519" s="3" t="n">
        <v>20</v>
      </c>
      <c r="G519" s="36" t="n">
        <v>0.9</v>
      </c>
      <c r="H519" s="36" t="n">
        <f aca="false">F519*G519</f>
        <v>18</v>
      </c>
      <c r="I519" s="36" t="n">
        <f aca="false">INDEX(Inventory!$D$2:$D$17,MATCH(C519,Inventory!$A$2:$A$17,0))</f>
        <v>0.5</v>
      </c>
      <c r="J519" s="36" t="n">
        <f aca="false">F519*I519</f>
        <v>10</v>
      </c>
      <c r="K519" s="36" t="n">
        <f aca="false">H519-J519</f>
        <v>8</v>
      </c>
    </row>
    <row r="520" customFormat="false" ht="15" hidden="false" customHeight="false" outlineLevel="0" collapsed="false">
      <c r="A520" s="41" t="n">
        <v>46236</v>
      </c>
      <c r="B520" s="42" t="n">
        <f aca="false">DATE(YEAR(A520),MONTH(A520),1)</f>
        <v>46235</v>
      </c>
      <c r="C520" s="3" t="s">
        <v>49</v>
      </c>
      <c r="D520" s="3" t="s">
        <v>50</v>
      </c>
      <c r="E520" s="3" t="s">
        <v>28</v>
      </c>
      <c r="F520" s="3" t="n">
        <v>27</v>
      </c>
      <c r="G520" s="36" t="n">
        <v>1.2</v>
      </c>
      <c r="H520" s="36" t="n">
        <f aca="false">F520*G520</f>
        <v>32.4</v>
      </c>
      <c r="I520" s="36" t="n">
        <f aca="false">INDEX(Inventory!$D$2:$D$17,MATCH(C520,Inventory!$A$2:$A$17,0))</f>
        <v>0.7</v>
      </c>
      <c r="J520" s="36" t="n">
        <f aca="false">F520*I520</f>
        <v>18.9</v>
      </c>
      <c r="K520" s="36" t="n">
        <f aca="false">H520-J520</f>
        <v>13.5</v>
      </c>
    </row>
    <row r="521" customFormat="false" ht="15" hidden="false" customHeight="false" outlineLevel="0" collapsed="false">
      <c r="A521" s="41" t="n">
        <v>46236</v>
      </c>
      <c r="B521" s="42" t="n">
        <f aca="false">DATE(YEAR(A521),MONTH(A521),1)</f>
        <v>46235</v>
      </c>
      <c r="C521" s="3" t="s">
        <v>51</v>
      </c>
      <c r="D521" s="3" t="s">
        <v>52</v>
      </c>
      <c r="E521" s="3" t="s">
        <v>28</v>
      </c>
      <c r="F521" s="3" t="n">
        <v>31</v>
      </c>
      <c r="G521" s="36" t="n">
        <v>0.85</v>
      </c>
      <c r="H521" s="36" t="n">
        <f aca="false">F521*G521</f>
        <v>26.35</v>
      </c>
      <c r="I521" s="36" t="n">
        <f aca="false">INDEX(Inventory!$D$2:$D$17,MATCH(C521,Inventory!$A$2:$A$17,0))</f>
        <v>0.45</v>
      </c>
      <c r="J521" s="36" t="n">
        <f aca="false">F521*I521</f>
        <v>13.95</v>
      </c>
      <c r="K521" s="36" t="n">
        <f aca="false">H521-J521</f>
        <v>12.4</v>
      </c>
    </row>
    <row r="522" customFormat="false" ht="15" hidden="false" customHeight="false" outlineLevel="0" collapsed="false">
      <c r="A522" s="41" t="n">
        <v>46236</v>
      </c>
      <c r="B522" s="42" t="n">
        <f aca="false">DATE(YEAR(A522),MONTH(A522),1)</f>
        <v>46235</v>
      </c>
      <c r="C522" s="3" t="s">
        <v>37</v>
      </c>
      <c r="D522" s="3" t="s">
        <v>38</v>
      </c>
      <c r="E522" s="3" t="s">
        <v>26</v>
      </c>
      <c r="F522" s="3" t="n">
        <v>38</v>
      </c>
      <c r="G522" s="36" t="n">
        <v>1.2</v>
      </c>
      <c r="H522" s="36" t="n">
        <f aca="false">F522*G522</f>
        <v>45.6</v>
      </c>
      <c r="I522" s="36" t="n">
        <f aca="false">INDEX(Inventory!$D$2:$D$17,MATCH(C522,Inventory!$A$2:$A$17,0))</f>
        <v>0.85</v>
      </c>
      <c r="J522" s="36" t="n">
        <f aca="false">F522*I522</f>
        <v>32.3</v>
      </c>
      <c r="K522" s="36" t="n">
        <f aca="false">H522-J522</f>
        <v>13.3</v>
      </c>
    </row>
    <row r="523" customFormat="false" ht="15" hidden="false" customHeight="false" outlineLevel="0" collapsed="false">
      <c r="A523" s="41" t="n">
        <v>46236</v>
      </c>
      <c r="B523" s="42" t="n">
        <f aca="false">DATE(YEAR(A523),MONTH(A523),1)</f>
        <v>46235</v>
      </c>
      <c r="C523" s="3" t="s">
        <v>47</v>
      </c>
      <c r="D523" s="3" t="s">
        <v>48</v>
      </c>
      <c r="E523" s="3" t="s">
        <v>26</v>
      </c>
      <c r="F523" s="3" t="n">
        <v>14</v>
      </c>
      <c r="G523" s="36" t="n">
        <v>2.2</v>
      </c>
      <c r="H523" s="36" t="n">
        <f aca="false">F523*G523</f>
        <v>30.8</v>
      </c>
      <c r="I523" s="36" t="n">
        <f aca="false">INDEX(Inventory!$D$2:$D$17,MATCH(C523,Inventory!$A$2:$A$17,0))</f>
        <v>1.4</v>
      </c>
      <c r="J523" s="36" t="n">
        <f aca="false">F523*I523</f>
        <v>19.6</v>
      </c>
      <c r="K523" s="36" t="n">
        <f aca="false">H523-J523</f>
        <v>11.2</v>
      </c>
    </row>
    <row r="524" customFormat="false" ht="15" hidden="false" customHeight="false" outlineLevel="0" collapsed="false">
      <c r="A524" s="41" t="n">
        <v>46236</v>
      </c>
      <c r="B524" s="42" t="n">
        <f aca="false">DATE(YEAR(A524),MONTH(A524),1)</f>
        <v>46235</v>
      </c>
      <c r="C524" s="3" t="s">
        <v>43</v>
      </c>
      <c r="D524" s="3" t="s">
        <v>44</v>
      </c>
      <c r="E524" s="3" t="s">
        <v>26</v>
      </c>
      <c r="F524" s="3" t="n">
        <v>8</v>
      </c>
      <c r="G524" s="36" t="n">
        <v>3.8</v>
      </c>
      <c r="H524" s="36" t="n">
        <f aca="false">F524*G524</f>
        <v>30.4</v>
      </c>
      <c r="I524" s="36" t="n">
        <f aca="false">INDEX(Inventory!$D$2:$D$17,MATCH(C524,Inventory!$A$2:$A$17,0))</f>
        <v>2.6</v>
      </c>
      <c r="J524" s="36" t="n">
        <f aca="false">F524*I524</f>
        <v>20.8</v>
      </c>
      <c r="K524" s="36" t="n">
        <f aca="false">H524-J524</f>
        <v>9.6</v>
      </c>
    </row>
    <row r="525" customFormat="false" ht="15" hidden="false" customHeight="false" outlineLevel="0" collapsed="false">
      <c r="A525" s="41" t="n">
        <v>46236</v>
      </c>
      <c r="B525" s="42" t="n">
        <f aca="false">DATE(YEAR(A525),MONTH(A525),1)</f>
        <v>46235</v>
      </c>
      <c r="C525" s="3" t="s">
        <v>67</v>
      </c>
      <c r="D525" s="3" t="s">
        <v>68</v>
      </c>
      <c r="E525" s="3" t="s">
        <v>26</v>
      </c>
      <c r="F525" s="3" t="n">
        <v>6</v>
      </c>
      <c r="G525" s="36" t="n">
        <v>1.9</v>
      </c>
      <c r="H525" s="36" t="n">
        <f aca="false">F525*G525</f>
        <v>11.4</v>
      </c>
      <c r="I525" s="36" t="n">
        <f aca="false">INDEX(Inventory!$D$2:$D$17,MATCH(C525,Inventory!$A$2:$A$17,0))</f>
        <v>1.3</v>
      </c>
      <c r="J525" s="36" t="n">
        <f aca="false">F525*I525</f>
        <v>7.8</v>
      </c>
      <c r="K525" s="36" t="n">
        <f aca="false">H525-J525</f>
        <v>3.6</v>
      </c>
    </row>
    <row r="526" customFormat="false" ht="15" hidden="false" customHeight="false" outlineLevel="0" collapsed="false">
      <c r="A526" s="41" t="n">
        <v>46236</v>
      </c>
      <c r="B526" s="42" t="n">
        <f aca="false">DATE(YEAR(A526),MONTH(A526),1)</f>
        <v>46235</v>
      </c>
      <c r="C526" s="3" t="s">
        <v>61</v>
      </c>
      <c r="D526" s="3" t="s">
        <v>62</v>
      </c>
      <c r="E526" s="3" t="s">
        <v>29</v>
      </c>
      <c r="F526" s="3" t="n">
        <v>10</v>
      </c>
      <c r="G526" s="36" t="n">
        <v>1.9</v>
      </c>
      <c r="H526" s="36" t="n">
        <f aca="false">F526*G526</f>
        <v>19</v>
      </c>
      <c r="I526" s="36" t="n">
        <f aca="false">INDEX(Inventory!$D$2:$D$17,MATCH(C526,Inventory!$A$2:$A$17,0))</f>
        <v>1.1</v>
      </c>
      <c r="J526" s="36" t="n">
        <f aca="false">F526*I526</f>
        <v>11</v>
      </c>
      <c r="K526" s="36" t="n">
        <f aca="false">H526-J526</f>
        <v>8</v>
      </c>
    </row>
    <row r="527" customFormat="false" ht="15" hidden="false" customHeight="false" outlineLevel="0" collapsed="false">
      <c r="A527" s="41" t="n">
        <v>46236</v>
      </c>
      <c r="B527" s="42" t="n">
        <f aca="false">DATE(YEAR(A527),MONTH(A527),1)</f>
        <v>46235</v>
      </c>
      <c r="C527" s="3" t="s">
        <v>45</v>
      </c>
      <c r="D527" s="3" t="s">
        <v>46</v>
      </c>
      <c r="E527" s="3" t="s">
        <v>29</v>
      </c>
      <c r="F527" s="3" t="n">
        <v>5</v>
      </c>
      <c r="G527" s="36" t="n">
        <v>5.2</v>
      </c>
      <c r="H527" s="36" t="n">
        <f aca="false">F527*G527</f>
        <v>26</v>
      </c>
      <c r="I527" s="36" t="n">
        <f aca="false">INDEX(Inventory!$D$2:$D$17,MATCH(C527,Inventory!$A$2:$A$17,0))</f>
        <v>3.5</v>
      </c>
      <c r="J527" s="36" t="n">
        <f aca="false">F527*I527</f>
        <v>17.5</v>
      </c>
      <c r="K527" s="36" t="n">
        <f aca="false">H527-J527</f>
        <v>8.5</v>
      </c>
    </row>
    <row r="528" customFormat="false" ht="15" hidden="false" customHeight="false" outlineLevel="0" collapsed="false">
      <c r="A528" s="41" t="n">
        <v>46236</v>
      </c>
      <c r="B528" s="42" t="n">
        <f aca="false">DATE(YEAR(A528),MONTH(A528),1)</f>
        <v>46235</v>
      </c>
      <c r="C528" s="3" t="s">
        <v>65</v>
      </c>
      <c r="D528" s="3" t="s">
        <v>66</v>
      </c>
      <c r="E528" s="3" t="s">
        <v>29</v>
      </c>
      <c r="F528" s="3" t="n">
        <v>12</v>
      </c>
      <c r="G528" s="36" t="n">
        <v>1.5</v>
      </c>
      <c r="H528" s="36" t="n">
        <f aca="false">F528*G528</f>
        <v>18</v>
      </c>
      <c r="I528" s="36" t="n">
        <f aca="false">INDEX(Inventory!$D$2:$D$17,MATCH(C528,Inventory!$A$2:$A$17,0))</f>
        <v>0.9</v>
      </c>
      <c r="J528" s="36" t="n">
        <f aca="false">F528*I528</f>
        <v>10.8</v>
      </c>
      <c r="K528" s="36" t="n">
        <f aca="false">H528-J528</f>
        <v>7.2</v>
      </c>
    </row>
    <row r="529" customFormat="false" ht="15" hidden="false" customHeight="false" outlineLevel="0" collapsed="false">
      <c r="A529" s="41" t="n">
        <v>46236</v>
      </c>
      <c r="B529" s="42" t="n">
        <f aca="false">DATE(YEAR(A529),MONTH(A529),1)</f>
        <v>46235</v>
      </c>
      <c r="C529" s="3" t="s">
        <v>55</v>
      </c>
      <c r="D529" s="3" t="s">
        <v>56</v>
      </c>
      <c r="E529" s="3" t="s">
        <v>29</v>
      </c>
      <c r="F529" s="3" t="n">
        <v>9</v>
      </c>
      <c r="G529" s="36" t="n">
        <v>2.5</v>
      </c>
      <c r="H529" s="36" t="n">
        <f aca="false">F529*G529</f>
        <v>22.5</v>
      </c>
      <c r="I529" s="36" t="n">
        <f aca="false">INDEX(Inventory!$D$2:$D$17,MATCH(C529,Inventory!$A$2:$A$17,0))</f>
        <v>1.6</v>
      </c>
      <c r="J529" s="36" t="n">
        <f aca="false">F529*I529</f>
        <v>14.4</v>
      </c>
      <c r="K529" s="36" t="n">
        <f aca="false">H529-J529</f>
        <v>8.1</v>
      </c>
    </row>
    <row r="530" customFormat="false" ht="15" hidden="false" customHeight="false" outlineLevel="0" collapsed="false">
      <c r="A530" s="41" t="n">
        <v>46237</v>
      </c>
      <c r="B530" s="42" t="n">
        <f aca="false">DATE(YEAR(A530),MONTH(A530),1)</f>
        <v>46235</v>
      </c>
      <c r="C530" s="3" t="s">
        <v>39</v>
      </c>
      <c r="D530" s="3" t="s">
        <v>40</v>
      </c>
      <c r="E530" s="3" t="s">
        <v>27</v>
      </c>
      <c r="F530" s="3" t="n">
        <v>31</v>
      </c>
      <c r="G530" s="36" t="n">
        <v>1</v>
      </c>
      <c r="H530" s="36" t="n">
        <f aca="false">F530*G530</f>
        <v>31</v>
      </c>
      <c r="I530" s="36" t="n">
        <f aca="false">INDEX(Inventory!$D$2:$D$17,MATCH(C530,Inventory!$A$2:$A$17,0))</f>
        <v>0.6</v>
      </c>
      <c r="J530" s="36" t="n">
        <f aca="false">F530*I530</f>
        <v>18.6</v>
      </c>
      <c r="K530" s="36" t="n">
        <f aca="false">H530-J530</f>
        <v>12.4</v>
      </c>
    </row>
    <row r="531" customFormat="false" ht="15" hidden="false" customHeight="false" outlineLevel="0" collapsed="false">
      <c r="A531" s="41" t="n">
        <v>46237</v>
      </c>
      <c r="B531" s="42" t="n">
        <f aca="false">DATE(YEAR(A531),MONTH(A531),1)</f>
        <v>46235</v>
      </c>
      <c r="C531" s="3" t="s">
        <v>53</v>
      </c>
      <c r="D531" s="3" t="s">
        <v>54</v>
      </c>
      <c r="E531" s="3" t="s">
        <v>27</v>
      </c>
      <c r="F531" s="3" t="n">
        <v>19</v>
      </c>
      <c r="G531" s="36" t="n">
        <v>0.95</v>
      </c>
      <c r="H531" s="36" t="n">
        <f aca="false">F531*G531</f>
        <v>18.05</v>
      </c>
      <c r="I531" s="36" t="n">
        <f aca="false">INDEX(Inventory!$D$2:$D$17,MATCH(C531,Inventory!$A$2:$A$17,0))</f>
        <v>0.55</v>
      </c>
      <c r="J531" s="36" t="n">
        <f aca="false">F531*I531</f>
        <v>10.45</v>
      </c>
      <c r="K531" s="36" t="n">
        <f aca="false">H531-J531</f>
        <v>7.6</v>
      </c>
    </row>
    <row r="532" customFormat="false" ht="15" hidden="false" customHeight="false" outlineLevel="0" collapsed="false">
      <c r="A532" s="41" t="n">
        <v>46237</v>
      </c>
      <c r="B532" s="42" t="n">
        <f aca="false">DATE(YEAR(A532),MONTH(A532),1)</f>
        <v>46235</v>
      </c>
      <c r="C532" s="3" t="s">
        <v>59</v>
      </c>
      <c r="D532" s="3" t="s">
        <v>60</v>
      </c>
      <c r="E532" s="3" t="s">
        <v>27</v>
      </c>
      <c r="F532" s="3" t="n">
        <v>39</v>
      </c>
      <c r="G532" s="36" t="n">
        <v>0.6</v>
      </c>
      <c r="H532" s="36" t="n">
        <f aca="false">F532*G532</f>
        <v>23.4</v>
      </c>
      <c r="I532" s="36" t="n">
        <f aca="false">INDEX(Inventory!$D$2:$D$17,MATCH(C532,Inventory!$A$2:$A$17,0))</f>
        <v>0.3</v>
      </c>
      <c r="J532" s="36" t="n">
        <f aca="false">F532*I532</f>
        <v>11.7</v>
      </c>
      <c r="K532" s="36" t="n">
        <f aca="false">H532-J532</f>
        <v>11.7</v>
      </c>
    </row>
    <row r="533" customFormat="false" ht="15" hidden="false" customHeight="false" outlineLevel="0" collapsed="false">
      <c r="A533" s="41" t="n">
        <v>46237</v>
      </c>
      <c r="B533" s="42" t="n">
        <f aca="false">DATE(YEAR(A533),MONTH(A533),1)</f>
        <v>46235</v>
      </c>
      <c r="C533" s="3" t="s">
        <v>57</v>
      </c>
      <c r="D533" s="3" t="s">
        <v>58</v>
      </c>
      <c r="E533" s="3" t="s">
        <v>27</v>
      </c>
      <c r="F533" s="3" t="n">
        <v>16</v>
      </c>
      <c r="G533" s="36" t="n">
        <v>1.5</v>
      </c>
      <c r="H533" s="36" t="n">
        <f aca="false">F533*G533</f>
        <v>24</v>
      </c>
      <c r="I533" s="36" t="n">
        <f aca="false">INDEX(Inventory!$D$2:$D$17,MATCH(C533,Inventory!$A$2:$A$17,0))</f>
        <v>0.9</v>
      </c>
      <c r="J533" s="36" t="n">
        <f aca="false">F533*I533</f>
        <v>14.4</v>
      </c>
      <c r="K533" s="36" t="n">
        <f aca="false">H533-J533</f>
        <v>9.6</v>
      </c>
    </row>
    <row r="534" customFormat="false" ht="15" hidden="false" customHeight="false" outlineLevel="0" collapsed="false">
      <c r="A534" s="41" t="n">
        <v>46237</v>
      </c>
      <c r="B534" s="42" t="n">
        <f aca="false">DATE(YEAR(A534),MONTH(A534),1)</f>
        <v>46235</v>
      </c>
      <c r="C534" s="3" t="s">
        <v>41</v>
      </c>
      <c r="D534" s="3" t="s">
        <v>42</v>
      </c>
      <c r="E534" s="3" t="s">
        <v>28</v>
      </c>
      <c r="F534" s="3" t="n">
        <v>18</v>
      </c>
      <c r="G534" s="36" t="n">
        <v>1.3</v>
      </c>
      <c r="H534" s="36" t="n">
        <f aca="false">F534*G534</f>
        <v>23.4</v>
      </c>
      <c r="I534" s="36" t="n">
        <f aca="false">INDEX(Inventory!$D$2:$D$17,MATCH(C534,Inventory!$A$2:$A$17,0))</f>
        <v>0.8</v>
      </c>
      <c r="J534" s="36" t="n">
        <f aca="false">F534*I534</f>
        <v>14.4</v>
      </c>
      <c r="K534" s="36" t="n">
        <f aca="false">H534-J534</f>
        <v>9</v>
      </c>
    </row>
    <row r="535" customFormat="false" ht="15" hidden="false" customHeight="false" outlineLevel="0" collapsed="false">
      <c r="A535" s="41" t="n">
        <v>46237</v>
      </c>
      <c r="B535" s="42" t="n">
        <f aca="false">DATE(YEAR(A535),MONTH(A535),1)</f>
        <v>46235</v>
      </c>
      <c r="C535" s="3" t="s">
        <v>63</v>
      </c>
      <c r="D535" s="3" t="s">
        <v>64</v>
      </c>
      <c r="E535" s="3" t="s">
        <v>28</v>
      </c>
      <c r="F535" s="3" t="n">
        <v>14</v>
      </c>
      <c r="G535" s="36" t="n">
        <v>0.9</v>
      </c>
      <c r="H535" s="36" t="n">
        <f aca="false">F535*G535</f>
        <v>12.6</v>
      </c>
      <c r="I535" s="36" t="n">
        <f aca="false">INDEX(Inventory!$D$2:$D$17,MATCH(C535,Inventory!$A$2:$A$17,0))</f>
        <v>0.5</v>
      </c>
      <c r="J535" s="36" t="n">
        <f aca="false">F535*I535</f>
        <v>7</v>
      </c>
      <c r="K535" s="36" t="n">
        <f aca="false">H535-J535</f>
        <v>5.6</v>
      </c>
    </row>
    <row r="536" customFormat="false" ht="15" hidden="false" customHeight="false" outlineLevel="0" collapsed="false">
      <c r="A536" s="41" t="n">
        <v>46237</v>
      </c>
      <c r="B536" s="42" t="n">
        <f aca="false">DATE(YEAR(A536),MONTH(A536),1)</f>
        <v>46235</v>
      </c>
      <c r="C536" s="3" t="s">
        <v>49</v>
      </c>
      <c r="D536" s="3" t="s">
        <v>50</v>
      </c>
      <c r="E536" s="3" t="s">
        <v>28</v>
      </c>
      <c r="F536" s="3" t="n">
        <v>15</v>
      </c>
      <c r="G536" s="36" t="n">
        <v>1.2</v>
      </c>
      <c r="H536" s="36" t="n">
        <f aca="false">F536*G536</f>
        <v>18</v>
      </c>
      <c r="I536" s="36" t="n">
        <f aca="false">INDEX(Inventory!$D$2:$D$17,MATCH(C536,Inventory!$A$2:$A$17,0))</f>
        <v>0.7</v>
      </c>
      <c r="J536" s="36" t="n">
        <f aca="false">F536*I536</f>
        <v>10.5</v>
      </c>
      <c r="K536" s="36" t="n">
        <f aca="false">H536-J536</f>
        <v>7.5</v>
      </c>
    </row>
    <row r="537" customFormat="false" ht="15" hidden="false" customHeight="false" outlineLevel="0" collapsed="false">
      <c r="A537" s="41" t="n">
        <v>46237</v>
      </c>
      <c r="B537" s="42" t="n">
        <f aca="false">DATE(YEAR(A537),MONTH(A537),1)</f>
        <v>46235</v>
      </c>
      <c r="C537" s="3" t="s">
        <v>51</v>
      </c>
      <c r="D537" s="3" t="s">
        <v>52</v>
      </c>
      <c r="E537" s="3" t="s">
        <v>28</v>
      </c>
      <c r="F537" s="3" t="n">
        <v>14</v>
      </c>
      <c r="G537" s="36" t="n">
        <v>0.85</v>
      </c>
      <c r="H537" s="36" t="n">
        <f aca="false">F537*G537</f>
        <v>11.9</v>
      </c>
      <c r="I537" s="36" t="n">
        <f aca="false">INDEX(Inventory!$D$2:$D$17,MATCH(C537,Inventory!$A$2:$A$17,0))</f>
        <v>0.45</v>
      </c>
      <c r="J537" s="36" t="n">
        <f aca="false">F537*I537</f>
        <v>6.3</v>
      </c>
      <c r="K537" s="36" t="n">
        <f aca="false">H537-J537</f>
        <v>5.6</v>
      </c>
    </row>
    <row r="538" customFormat="false" ht="15" hidden="false" customHeight="false" outlineLevel="0" collapsed="false">
      <c r="A538" s="41" t="n">
        <v>46237</v>
      </c>
      <c r="B538" s="42" t="n">
        <f aca="false">DATE(YEAR(A538),MONTH(A538),1)</f>
        <v>46235</v>
      </c>
      <c r="C538" s="3" t="s">
        <v>37</v>
      </c>
      <c r="D538" s="3" t="s">
        <v>38</v>
      </c>
      <c r="E538" s="3" t="s">
        <v>26</v>
      </c>
      <c r="F538" s="3" t="n">
        <v>29</v>
      </c>
      <c r="G538" s="36" t="n">
        <v>1.2</v>
      </c>
      <c r="H538" s="36" t="n">
        <f aca="false">F538*G538</f>
        <v>34.8</v>
      </c>
      <c r="I538" s="36" t="n">
        <f aca="false">INDEX(Inventory!$D$2:$D$17,MATCH(C538,Inventory!$A$2:$A$17,0))</f>
        <v>0.85</v>
      </c>
      <c r="J538" s="36" t="n">
        <f aca="false">F538*I538</f>
        <v>24.65</v>
      </c>
      <c r="K538" s="36" t="n">
        <f aca="false">H538-J538</f>
        <v>10.15</v>
      </c>
    </row>
    <row r="539" customFormat="false" ht="15" hidden="false" customHeight="false" outlineLevel="0" collapsed="false">
      <c r="A539" s="41" t="n">
        <v>46237</v>
      </c>
      <c r="B539" s="42" t="n">
        <f aca="false">DATE(YEAR(A539),MONTH(A539),1)</f>
        <v>46235</v>
      </c>
      <c r="C539" s="3" t="s">
        <v>47</v>
      </c>
      <c r="D539" s="3" t="s">
        <v>48</v>
      </c>
      <c r="E539" s="3" t="s">
        <v>26</v>
      </c>
      <c r="F539" s="3" t="n">
        <v>13</v>
      </c>
      <c r="G539" s="36" t="n">
        <v>2.2</v>
      </c>
      <c r="H539" s="36" t="n">
        <f aca="false">F539*G539</f>
        <v>28.6</v>
      </c>
      <c r="I539" s="36" t="n">
        <f aca="false">INDEX(Inventory!$D$2:$D$17,MATCH(C539,Inventory!$A$2:$A$17,0))</f>
        <v>1.4</v>
      </c>
      <c r="J539" s="36" t="n">
        <f aca="false">F539*I539</f>
        <v>18.2</v>
      </c>
      <c r="K539" s="36" t="n">
        <f aca="false">H539-J539</f>
        <v>10.4</v>
      </c>
    </row>
    <row r="540" customFormat="false" ht="15" hidden="false" customHeight="false" outlineLevel="0" collapsed="false">
      <c r="A540" s="41" t="n">
        <v>46237</v>
      </c>
      <c r="B540" s="42" t="n">
        <f aca="false">DATE(YEAR(A540),MONTH(A540),1)</f>
        <v>46235</v>
      </c>
      <c r="C540" s="3" t="s">
        <v>43</v>
      </c>
      <c r="D540" s="3" t="s">
        <v>44</v>
      </c>
      <c r="E540" s="3" t="s">
        <v>26</v>
      </c>
      <c r="F540" s="3" t="n">
        <v>7</v>
      </c>
      <c r="G540" s="36" t="n">
        <v>3.8</v>
      </c>
      <c r="H540" s="36" t="n">
        <f aca="false">F540*G540</f>
        <v>26.6</v>
      </c>
      <c r="I540" s="36" t="n">
        <f aca="false">INDEX(Inventory!$D$2:$D$17,MATCH(C540,Inventory!$A$2:$A$17,0))</f>
        <v>2.6</v>
      </c>
      <c r="J540" s="36" t="n">
        <f aca="false">F540*I540</f>
        <v>18.2</v>
      </c>
      <c r="K540" s="36" t="n">
        <f aca="false">H540-J540</f>
        <v>8.4</v>
      </c>
    </row>
    <row r="541" customFormat="false" ht="15" hidden="false" customHeight="false" outlineLevel="0" collapsed="false">
      <c r="A541" s="41" t="n">
        <v>46237</v>
      </c>
      <c r="B541" s="42" t="n">
        <f aca="false">DATE(YEAR(A541),MONTH(A541),1)</f>
        <v>46235</v>
      </c>
      <c r="C541" s="3" t="s">
        <v>67</v>
      </c>
      <c r="D541" s="3" t="s">
        <v>68</v>
      </c>
      <c r="E541" s="3" t="s">
        <v>26</v>
      </c>
      <c r="F541" s="3" t="n">
        <v>6</v>
      </c>
      <c r="G541" s="36" t="n">
        <v>1.9</v>
      </c>
      <c r="H541" s="36" t="n">
        <f aca="false">F541*G541</f>
        <v>11.4</v>
      </c>
      <c r="I541" s="36" t="n">
        <f aca="false">INDEX(Inventory!$D$2:$D$17,MATCH(C541,Inventory!$A$2:$A$17,0))</f>
        <v>1.3</v>
      </c>
      <c r="J541" s="36" t="n">
        <f aca="false">F541*I541</f>
        <v>7.8</v>
      </c>
      <c r="K541" s="36" t="n">
        <f aca="false">H541-J541</f>
        <v>3.6</v>
      </c>
    </row>
    <row r="542" customFormat="false" ht="15" hidden="false" customHeight="false" outlineLevel="0" collapsed="false">
      <c r="A542" s="41" t="n">
        <v>46237</v>
      </c>
      <c r="B542" s="42" t="n">
        <f aca="false">DATE(YEAR(A542),MONTH(A542),1)</f>
        <v>46235</v>
      </c>
      <c r="C542" s="3" t="s">
        <v>61</v>
      </c>
      <c r="D542" s="3" t="s">
        <v>62</v>
      </c>
      <c r="E542" s="3" t="s">
        <v>29</v>
      </c>
      <c r="F542" s="3" t="n">
        <v>12</v>
      </c>
      <c r="G542" s="36" t="n">
        <v>1.9</v>
      </c>
      <c r="H542" s="36" t="n">
        <f aca="false">F542*G542</f>
        <v>22.8</v>
      </c>
      <c r="I542" s="36" t="n">
        <f aca="false">INDEX(Inventory!$D$2:$D$17,MATCH(C542,Inventory!$A$2:$A$17,0))</f>
        <v>1.1</v>
      </c>
      <c r="J542" s="36" t="n">
        <f aca="false">F542*I542</f>
        <v>13.2</v>
      </c>
      <c r="K542" s="36" t="n">
        <f aca="false">H542-J542</f>
        <v>9.6</v>
      </c>
    </row>
    <row r="543" customFormat="false" ht="15" hidden="false" customHeight="false" outlineLevel="0" collapsed="false">
      <c r="A543" s="41" t="n">
        <v>46237</v>
      </c>
      <c r="B543" s="42" t="n">
        <f aca="false">DATE(YEAR(A543),MONTH(A543),1)</f>
        <v>46235</v>
      </c>
      <c r="C543" s="3" t="s">
        <v>45</v>
      </c>
      <c r="D543" s="3" t="s">
        <v>46</v>
      </c>
      <c r="E543" s="3" t="s">
        <v>29</v>
      </c>
      <c r="F543" s="3" t="n">
        <v>2</v>
      </c>
      <c r="G543" s="36" t="n">
        <v>5.2</v>
      </c>
      <c r="H543" s="36" t="n">
        <f aca="false">F543*G543</f>
        <v>10.4</v>
      </c>
      <c r="I543" s="36" t="n">
        <f aca="false">INDEX(Inventory!$D$2:$D$17,MATCH(C543,Inventory!$A$2:$A$17,0))</f>
        <v>3.5</v>
      </c>
      <c r="J543" s="36" t="n">
        <f aca="false">F543*I543</f>
        <v>7</v>
      </c>
      <c r="K543" s="36" t="n">
        <f aca="false">H543-J543</f>
        <v>3.4</v>
      </c>
    </row>
    <row r="544" customFormat="false" ht="15" hidden="false" customHeight="false" outlineLevel="0" collapsed="false">
      <c r="A544" s="41" t="n">
        <v>46237</v>
      </c>
      <c r="B544" s="42" t="n">
        <f aca="false">DATE(YEAR(A544),MONTH(A544),1)</f>
        <v>46235</v>
      </c>
      <c r="C544" s="3" t="s">
        <v>65</v>
      </c>
      <c r="D544" s="3" t="s">
        <v>66</v>
      </c>
      <c r="E544" s="3" t="s">
        <v>29</v>
      </c>
      <c r="F544" s="3" t="n">
        <v>9</v>
      </c>
      <c r="G544" s="36" t="n">
        <v>1.5</v>
      </c>
      <c r="H544" s="36" t="n">
        <f aca="false">F544*G544</f>
        <v>13.5</v>
      </c>
      <c r="I544" s="36" t="n">
        <f aca="false">INDEX(Inventory!$D$2:$D$17,MATCH(C544,Inventory!$A$2:$A$17,0))</f>
        <v>0.9</v>
      </c>
      <c r="J544" s="36" t="n">
        <f aca="false">F544*I544</f>
        <v>8.1</v>
      </c>
      <c r="K544" s="36" t="n">
        <f aca="false">H544-J544</f>
        <v>5.4</v>
      </c>
    </row>
    <row r="545" customFormat="false" ht="15" hidden="false" customHeight="false" outlineLevel="0" collapsed="false">
      <c r="A545" s="41" t="n">
        <v>46237</v>
      </c>
      <c r="B545" s="42" t="n">
        <f aca="false">DATE(YEAR(A545),MONTH(A545),1)</f>
        <v>46235</v>
      </c>
      <c r="C545" s="3" t="s">
        <v>55</v>
      </c>
      <c r="D545" s="3" t="s">
        <v>56</v>
      </c>
      <c r="E545" s="3" t="s">
        <v>29</v>
      </c>
      <c r="F545" s="3" t="n">
        <v>8</v>
      </c>
      <c r="G545" s="36" t="n">
        <v>2.5</v>
      </c>
      <c r="H545" s="36" t="n">
        <f aca="false">F545*G545</f>
        <v>20</v>
      </c>
      <c r="I545" s="36" t="n">
        <f aca="false">INDEX(Inventory!$D$2:$D$17,MATCH(C545,Inventory!$A$2:$A$17,0))</f>
        <v>1.6</v>
      </c>
      <c r="J545" s="36" t="n">
        <f aca="false">F545*I545</f>
        <v>12.8</v>
      </c>
      <c r="K545" s="36" t="n">
        <f aca="false">H545-J545</f>
        <v>7.2</v>
      </c>
    </row>
    <row r="546" customFormat="false" ht="15" hidden="false" customHeight="false" outlineLevel="0" collapsed="false">
      <c r="A546" s="41" t="n">
        <v>46238</v>
      </c>
      <c r="B546" s="42" t="n">
        <f aca="false">DATE(YEAR(A546),MONTH(A546),1)</f>
        <v>46235</v>
      </c>
      <c r="C546" s="3" t="s">
        <v>39</v>
      </c>
      <c r="D546" s="3" t="s">
        <v>40</v>
      </c>
      <c r="E546" s="3" t="s">
        <v>27</v>
      </c>
      <c r="F546" s="3" t="n">
        <v>23</v>
      </c>
      <c r="G546" s="36" t="n">
        <v>1</v>
      </c>
      <c r="H546" s="36" t="n">
        <f aca="false">F546*G546</f>
        <v>23</v>
      </c>
      <c r="I546" s="36" t="n">
        <f aca="false">INDEX(Inventory!$D$2:$D$17,MATCH(C546,Inventory!$A$2:$A$17,0))</f>
        <v>0.6</v>
      </c>
      <c r="J546" s="36" t="n">
        <f aca="false">F546*I546</f>
        <v>13.8</v>
      </c>
      <c r="K546" s="36" t="n">
        <f aca="false">H546-J546</f>
        <v>9.2</v>
      </c>
    </row>
    <row r="547" customFormat="false" ht="15" hidden="false" customHeight="false" outlineLevel="0" collapsed="false">
      <c r="A547" s="41" t="n">
        <v>46238</v>
      </c>
      <c r="B547" s="42" t="n">
        <f aca="false">DATE(YEAR(A547),MONTH(A547),1)</f>
        <v>46235</v>
      </c>
      <c r="C547" s="3" t="s">
        <v>53</v>
      </c>
      <c r="D547" s="3" t="s">
        <v>54</v>
      </c>
      <c r="E547" s="3" t="s">
        <v>27</v>
      </c>
      <c r="F547" s="3" t="n">
        <v>25</v>
      </c>
      <c r="G547" s="36" t="n">
        <v>0.95</v>
      </c>
      <c r="H547" s="36" t="n">
        <f aca="false">F547*G547</f>
        <v>23.75</v>
      </c>
      <c r="I547" s="36" t="n">
        <f aca="false">INDEX(Inventory!$D$2:$D$17,MATCH(C547,Inventory!$A$2:$A$17,0))</f>
        <v>0.55</v>
      </c>
      <c r="J547" s="36" t="n">
        <f aca="false">F547*I547</f>
        <v>13.75</v>
      </c>
      <c r="K547" s="36" t="n">
        <f aca="false">H547-J547</f>
        <v>10</v>
      </c>
    </row>
    <row r="548" customFormat="false" ht="15" hidden="false" customHeight="false" outlineLevel="0" collapsed="false">
      <c r="A548" s="41" t="n">
        <v>46238</v>
      </c>
      <c r="B548" s="42" t="n">
        <f aca="false">DATE(YEAR(A548),MONTH(A548),1)</f>
        <v>46235</v>
      </c>
      <c r="C548" s="3" t="s">
        <v>59</v>
      </c>
      <c r="D548" s="3" t="s">
        <v>60</v>
      </c>
      <c r="E548" s="3" t="s">
        <v>27</v>
      </c>
      <c r="F548" s="3" t="n">
        <v>38</v>
      </c>
      <c r="G548" s="36" t="n">
        <v>0.6</v>
      </c>
      <c r="H548" s="36" t="n">
        <f aca="false">F548*G548</f>
        <v>22.8</v>
      </c>
      <c r="I548" s="36" t="n">
        <f aca="false">INDEX(Inventory!$D$2:$D$17,MATCH(C548,Inventory!$A$2:$A$17,0))</f>
        <v>0.3</v>
      </c>
      <c r="J548" s="36" t="n">
        <f aca="false">F548*I548</f>
        <v>11.4</v>
      </c>
      <c r="K548" s="36" t="n">
        <f aca="false">H548-J548</f>
        <v>11.4</v>
      </c>
    </row>
    <row r="549" customFormat="false" ht="15" hidden="false" customHeight="false" outlineLevel="0" collapsed="false">
      <c r="A549" s="41" t="n">
        <v>46238</v>
      </c>
      <c r="B549" s="42" t="n">
        <f aca="false">DATE(YEAR(A549),MONTH(A549),1)</f>
        <v>46235</v>
      </c>
      <c r="C549" s="3" t="s">
        <v>57</v>
      </c>
      <c r="D549" s="3" t="s">
        <v>58</v>
      </c>
      <c r="E549" s="3" t="s">
        <v>27</v>
      </c>
      <c r="F549" s="3" t="n">
        <v>12</v>
      </c>
      <c r="G549" s="36" t="n">
        <v>1.5</v>
      </c>
      <c r="H549" s="36" t="n">
        <f aca="false">F549*G549</f>
        <v>18</v>
      </c>
      <c r="I549" s="36" t="n">
        <f aca="false">INDEX(Inventory!$D$2:$D$17,MATCH(C549,Inventory!$A$2:$A$17,0))</f>
        <v>0.9</v>
      </c>
      <c r="J549" s="36" t="n">
        <f aca="false">F549*I549</f>
        <v>10.8</v>
      </c>
      <c r="K549" s="36" t="n">
        <f aca="false">H549-J549</f>
        <v>7.2</v>
      </c>
    </row>
    <row r="550" customFormat="false" ht="15" hidden="false" customHeight="false" outlineLevel="0" collapsed="false">
      <c r="A550" s="41" t="n">
        <v>46238</v>
      </c>
      <c r="B550" s="42" t="n">
        <f aca="false">DATE(YEAR(A550),MONTH(A550),1)</f>
        <v>46235</v>
      </c>
      <c r="C550" s="3" t="s">
        <v>41</v>
      </c>
      <c r="D550" s="3" t="s">
        <v>42</v>
      </c>
      <c r="E550" s="3" t="s">
        <v>28</v>
      </c>
      <c r="F550" s="3" t="n">
        <v>20</v>
      </c>
      <c r="G550" s="36" t="n">
        <v>1.3</v>
      </c>
      <c r="H550" s="36" t="n">
        <f aca="false">F550*G550</f>
        <v>26</v>
      </c>
      <c r="I550" s="36" t="n">
        <f aca="false">INDEX(Inventory!$D$2:$D$17,MATCH(C550,Inventory!$A$2:$A$17,0))</f>
        <v>0.8</v>
      </c>
      <c r="J550" s="36" t="n">
        <f aca="false">F550*I550</f>
        <v>16</v>
      </c>
      <c r="K550" s="36" t="n">
        <f aca="false">H550-J550</f>
        <v>10</v>
      </c>
    </row>
    <row r="551" customFormat="false" ht="15" hidden="false" customHeight="false" outlineLevel="0" collapsed="false">
      <c r="A551" s="41" t="n">
        <v>46238</v>
      </c>
      <c r="B551" s="42" t="n">
        <f aca="false">DATE(YEAR(A551),MONTH(A551),1)</f>
        <v>46235</v>
      </c>
      <c r="C551" s="3" t="s">
        <v>63</v>
      </c>
      <c r="D551" s="3" t="s">
        <v>64</v>
      </c>
      <c r="E551" s="3" t="s">
        <v>28</v>
      </c>
      <c r="F551" s="3" t="n">
        <v>13</v>
      </c>
      <c r="G551" s="36" t="n">
        <v>0.9</v>
      </c>
      <c r="H551" s="36" t="n">
        <f aca="false">F551*G551</f>
        <v>11.7</v>
      </c>
      <c r="I551" s="36" t="n">
        <f aca="false">INDEX(Inventory!$D$2:$D$17,MATCH(C551,Inventory!$A$2:$A$17,0))</f>
        <v>0.5</v>
      </c>
      <c r="J551" s="36" t="n">
        <f aca="false">F551*I551</f>
        <v>6.5</v>
      </c>
      <c r="K551" s="36" t="n">
        <f aca="false">H551-J551</f>
        <v>5.2</v>
      </c>
    </row>
    <row r="552" customFormat="false" ht="15" hidden="false" customHeight="false" outlineLevel="0" collapsed="false">
      <c r="A552" s="41" t="n">
        <v>46238</v>
      </c>
      <c r="B552" s="42" t="n">
        <f aca="false">DATE(YEAR(A552),MONTH(A552),1)</f>
        <v>46235</v>
      </c>
      <c r="C552" s="3" t="s">
        <v>49</v>
      </c>
      <c r="D552" s="3" t="s">
        <v>50</v>
      </c>
      <c r="E552" s="3" t="s">
        <v>28</v>
      </c>
      <c r="F552" s="3" t="n">
        <v>15</v>
      </c>
      <c r="G552" s="36" t="n">
        <v>1.2</v>
      </c>
      <c r="H552" s="36" t="n">
        <f aca="false">F552*G552</f>
        <v>18</v>
      </c>
      <c r="I552" s="36" t="n">
        <f aca="false">INDEX(Inventory!$D$2:$D$17,MATCH(C552,Inventory!$A$2:$A$17,0))</f>
        <v>0.7</v>
      </c>
      <c r="J552" s="36" t="n">
        <f aca="false">F552*I552</f>
        <v>10.5</v>
      </c>
      <c r="K552" s="36" t="n">
        <f aca="false">H552-J552</f>
        <v>7.5</v>
      </c>
    </row>
    <row r="553" customFormat="false" ht="15" hidden="false" customHeight="false" outlineLevel="0" collapsed="false">
      <c r="A553" s="41" t="n">
        <v>46238</v>
      </c>
      <c r="B553" s="42" t="n">
        <f aca="false">DATE(YEAR(A553),MONTH(A553),1)</f>
        <v>46235</v>
      </c>
      <c r="C553" s="3" t="s">
        <v>51</v>
      </c>
      <c r="D553" s="3" t="s">
        <v>52</v>
      </c>
      <c r="E553" s="3" t="s">
        <v>28</v>
      </c>
      <c r="F553" s="3" t="n">
        <v>16</v>
      </c>
      <c r="G553" s="36" t="n">
        <v>0.85</v>
      </c>
      <c r="H553" s="36" t="n">
        <f aca="false">F553*G553</f>
        <v>13.6</v>
      </c>
      <c r="I553" s="36" t="n">
        <f aca="false">INDEX(Inventory!$D$2:$D$17,MATCH(C553,Inventory!$A$2:$A$17,0))</f>
        <v>0.45</v>
      </c>
      <c r="J553" s="36" t="n">
        <f aca="false">F553*I553</f>
        <v>7.2</v>
      </c>
      <c r="K553" s="36" t="n">
        <f aca="false">H553-J553</f>
        <v>6.4</v>
      </c>
    </row>
    <row r="554" customFormat="false" ht="15" hidden="false" customHeight="false" outlineLevel="0" collapsed="false">
      <c r="A554" s="41" t="n">
        <v>46238</v>
      </c>
      <c r="B554" s="42" t="n">
        <f aca="false">DATE(YEAR(A554),MONTH(A554),1)</f>
        <v>46235</v>
      </c>
      <c r="C554" s="3" t="s">
        <v>37</v>
      </c>
      <c r="D554" s="3" t="s">
        <v>38</v>
      </c>
      <c r="E554" s="3" t="s">
        <v>26</v>
      </c>
      <c r="F554" s="3" t="n">
        <v>33</v>
      </c>
      <c r="G554" s="36" t="n">
        <v>1.2</v>
      </c>
      <c r="H554" s="36" t="n">
        <f aca="false">F554*G554</f>
        <v>39.6</v>
      </c>
      <c r="I554" s="36" t="n">
        <f aca="false">INDEX(Inventory!$D$2:$D$17,MATCH(C554,Inventory!$A$2:$A$17,0))</f>
        <v>0.85</v>
      </c>
      <c r="J554" s="36" t="n">
        <f aca="false">F554*I554</f>
        <v>28.05</v>
      </c>
      <c r="K554" s="36" t="n">
        <f aca="false">H554-J554</f>
        <v>11.55</v>
      </c>
    </row>
    <row r="555" customFormat="false" ht="15" hidden="false" customHeight="false" outlineLevel="0" collapsed="false">
      <c r="A555" s="41" t="n">
        <v>46238</v>
      </c>
      <c r="B555" s="42" t="n">
        <f aca="false">DATE(YEAR(A555),MONTH(A555),1)</f>
        <v>46235</v>
      </c>
      <c r="C555" s="3" t="s">
        <v>47</v>
      </c>
      <c r="D555" s="3" t="s">
        <v>48</v>
      </c>
      <c r="E555" s="3" t="s">
        <v>26</v>
      </c>
      <c r="F555" s="3" t="n">
        <v>13</v>
      </c>
      <c r="G555" s="36" t="n">
        <v>2.2</v>
      </c>
      <c r="H555" s="36" t="n">
        <f aca="false">F555*G555</f>
        <v>28.6</v>
      </c>
      <c r="I555" s="36" t="n">
        <f aca="false">INDEX(Inventory!$D$2:$D$17,MATCH(C555,Inventory!$A$2:$A$17,0))</f>
        <v>1.4</v>
      </c>
      <c r="J555" s="36" t="n">
        <f aca="false">F555*I555</f>
        <v>18.2</v>
      </c>
      <c r="K555" s="36" t="n">
        <f aca="false">H555-J555</f>
        <v>10.4</v>
      </c>
    </row>
    <row r="556" customFormat="false" ht="15" hidden="false" customHeight="false" outlineLevel="0" collapsed="false">
      <c r="A556" s="41" t="n">
        <v>46238</v>
      </c>
      <c r="B556" s="42" t="n">
        <f aca="false">DATE(YEAR(A556),MONTH(A556),1)</f>
        <v>46235</v>
      </c>
      <c r="C556" s="3" t="s">
        <v>43</v>
      </c>
      <c r="D556" s="3" t="s">
        <v>44</v>
      </c>
      <c r="E556" s="3" t="s">
        <v>26</v>
      </c>
      <c r="F556" s="3" t="n">
        <v>9</v>
      </c>
      <c r="G556" s="36" t="n">
        <v>3.8</v>
      </c>
      <c r="H556" s="36" t="n">
        <f aca="false">F556*G556</f>
        <v>34.2</v>
      </c>
      <c r="I556" s="36" t="n">
        <f aca="false">INDEX(Inventory!$D$2:$D$17,MATCH(C556,Inventory!$A$2:$A$17,0))</f>
        <v>2.6</v>
      </c>
      <c r="J556" s="36" t="n">
        <f aca="false">F556*I556</f>
        <v>23.4</v>
      </c>
      <c r="K556" s="36" t="n">
        <f aca="false">H556-J556</f>
        <v>10.8</v>
      </c>
    </row>
    <row r="557" customFormat="false" ht="15" hidden="false" customHeight="false" outlineLevel="0" collapsed="false">
      <c r="A557" s="41" t="n">
        <v>46238</v>
      </c>
      <c r="B557" s="42" t="n">
        <f aca="false">DATE(YEAR(A557),MONTH(A557),1)</f>
        <v>46235</v>
      </c>
      <c r="C557" s="3" t="s">
        <v>67</v>
      </c>
      <c r="D557" s="3" t="s">
        <v>68</v>
      </c>
      <c r="E557" s="3" t="s">
        <v>26</v>
      </c>
      <c r="F557" s="3" t="n">
        <v>5</v>
      </c>
      <c r="G557" s="36" t="n">
        <v>1.9</v>
      </c>
      <c r="H557" s="36" t="n">
        <f aca="false">F557*G557</f>
        <v>9.5</v>
      </c>
      <c r="I557" s="36" t="n">
        <f aca="false">INDEX(Inventory!$D$2:$D$17,MATCH(C557,Inventory!$A$2:$A$17,0))</f>
        <v>1.3</v>
      </c>
      <c r="J557" s="36" t="n">
        <f aca="false">F557*I557</f>
        <v>6.5</v>
      </c>
      <c r="K557" s="36" t="n">
        <f aca="false">H557-J557</f>
        <v>3</v>
      </c>
    </row>
    <row r="558" customFormat="false" ht="15" hidden="false" customHeight="false" outlineLevel="0" collapsed="false">
      <c r="A558" s="41" t="n">
        <v>46238</v>
      </c>
      <c r="B558" s="42" t="n">
        <f aca="false">DATE(YEAR(A558),MONTH(A558),1)</f>
        <v>46235</v>
      </c>
      <c r="C558" s="3" t="s">
        <v>61</v>
      </c>
      <c r="D558" s="3" t="s">
        <v>62</v>
      </c>
      <c r="E558" s="3" t="s">
        <v>29</v>
      </c>
      <c r="F558" s="3" t="n">
        <v>14</v>
      </c>
      <c r="G558" s="36" t="n">
        <v>1.9</v>
      </c>
      <c r="H558" s="36" t="n">
        <f aca="false">F558*G558</f>
        <v>26.6</v>
      </c>
      <c r="I558" s="36" t="n">
        <f aca="false">INDEX(Inventory!$D$2:$D$17,MATCH(C558,Inventory!$A$2:$A$17,0))</f>
        <v>1.1</v>
      </c>
      <c r="J558" s="36" t="n">
        <f aca="false">F558*I558</f>
        <v>15.4</v>
      </c>
      <c r="K558" s="36" t="n">
        <f aca="false">H558-J558</f>
        <v>11.2</v>
      </c>
    </row>
    <row r="559" customFormat="false" ht="15" hidden="false" customHeight="false" outlineLevel="0" collapsed="false">
      <c r="A559" s="41" t="n">
        <v>46238</v>
      </c>
      <c r="B559" s="42" t="n">
        <f aca="false">DATE(YEAR(A559),MONTH(A559),1)</f>
        <v>46235</v>
      </c>
      <c r="C559" s="3" t="s">
        <v>45</v>
      </c>
      <c r="D559" s="3" t="s">
        <v>46</v>
      </c>
      <c r="E559" s="3" t="s">
        <v>29</v>
      </c>
      <c r="F559" s="3" t="n">
        <v>8</v>
      </c>
      <c r="G559" s="36" t="n">
        <v>5.2</v>
      </c>
      <c r="H559" s="36" t="n">
        <f aca="false">F559*G559</f>
        <v>41.6</v>
      </c>
      <c r="I559" s="36" t="n">
        <f aca="false">INDEX(Inventory!$D$2:$D$17,MATCH(C559,Inventory!$A$2:$A$17,0))</f>
        <v>3.5</v>
      </c>
      <c r="J559" s="36" t="n">
        <f aca="false">F559*I559</f>
        <v>28</v>
      </c>
      <c r="K559" s="36" t="n">
        <f aca="false">H559-J559</f>
        <v>13.6</v>
      </c>
    </row>
    <row r="560" customFormat="false" ht="15" hidden="false" customHeight="false" outlineLevel="0" collapsed="false">
      <c r="A560" s="41" t="n">
        <v>46238</v>
      </c>
      <c r="B560" s="42" t="n">
        <f aca="false">DATE(YEAR(A560),MONTH(A560),1)</f>
        <v>46235</v>
      </c>
      <c r="C560" s="3" t="s">
        <v>65</v>
      </c>
      <c r="D560" s="3" t="s">
        <v>66</v>
      </c>
      <c r="E560" s="3" t="s">
        <v>29</v>
      </c>
      <c r="F560" s="3" t="n">
        <v>9</v>
      </c>
      <c r="G560" s="36" t="n">
        <v>1.5</v>
      </c>
      <c r="H560" s="36" t="n">
        <f aca="false">F560*G560</f>
        <v>13.5</v>
      </c>
      <c r="I560" s="36" t="n">
        <f aca="false">INDEX(Inventory!$D$2:$D$17,MATCH(C560,Inventory!$A$2:$A$17,0))</f>
        <v>0.9</v>
      </c>
      <c r="J560" s="36" t="n">
        <f aca="false">F560*I560</f>
        <v>8.1</v>
      </c>
      <c r="K560" s="36" t="n">
        <f aca="false">H560-J560</f>
        <v>5.4</v>
      </c>
    </row>
    <row r="561" customFormat="false" ht="15" hidden="false" customHeight="false" outlineLevel="0" collapsed="false">
      <c r="A561" s="41" t="n">
        <v>46238</v>
      </c>
      <c r="B561" s="42" t="n">
        <f aca="false">DATE(YEAR(A561),MONTH(A561),1)</f>
        <v>46235</v>
      </c>
      <c r="C561" s="3" t="s">
        <v>55</v>
      </c>
      <c r="D561" s="3" t="s">
        <v>56</v>
      </c>
      <c r="E561" s="3" t="s">
        <v>29</v>
      </c>
      <c r="F561" s="3" t="n">
        <v>6</v>
      </c>
      <c r="G561" s="36" t="n">
        <v>2.5</v>
      </c>
      <c r="H561" s="36" t="n">
        <f aca="false">F561*G561</f>
        <v>15</v>
      </c>
      <c r="I561" s="36" t="n">
        <f aca="false">INDEX(Inventory!$D$2:$D$17,MATCH(C561,Inventory!$A$2:$A$17,0))</f>
        <v>1.6</v>
      </c>
      <c r="J561" s="36" t="n">
        <f aca="false">F561*I561</f>
        <v>9.6</v>
      </c>
      <c r="K561" s="36" t="n">
        <f aca="false">H561-J561</f>
        <v>5.4</v>
      </c>
    </row>
    <row r="562" customFormat="false" ht="15" hidden="false" customHeight="false" outlineLevel="0" collapsed="false">
      <c r="A562" s="41" t="n">
        <v>46239</v>
      </c>
      <c r="B562" s="42" t="n">
        <f aca="false">DATE(YEAR(A562),MONTH(A562),1)</f>
        <v>46235</v>
      </c>
      <c r="C562" s="3" t="s">
        <v>39</v>
      </c>
      <c r="D562" s="3" t="s">
        <v>40</v>
      </c>
      <c r="E562" s="3" t="s">
        <v>27</v>
      </c>
      <c r="F562" s="3" t="n">
        <v>21</v>
      </c>
      <c r="G562" s="36" t="n">
        <v>1</v>
      </c>
      <c r="H562" s="36" t="n">
        <f aca="false">F562*G562</f>
        <v>21</v>
      </c>
      <c r="I562" s="36" t="n">
        <f aca="false">INDEX(Inventory!$D$2:$D$17,MATCH(C562,Inventory!$A$2:$A$17,0))</f>
        <v>0.6</v>
      </c>
      <c r="J562" s="36" t="n">
        <f aca="false">F562*I562</f>
        <v>12.6</v>
      </c>
      <c r="K562" s="36" t="n">
        <f aca="false">H562-J562</f>
        <v>8.4</v>
      </c>
    </row>
    <row r="563" customFormat="false" ht="15" hidden="false" customHeight="false" outlineLevel="0" collapsed="false">
      <c r="A563" s="41" t="n">
        <v>46239</v>
      </c>
      <c r="B563" s="42" t="n">
        <f aca="false">DATE(YEAR(A563),MONTH(A563),1)</f>
        <v>46235</v>
      </c>
      <c r="C563" s="3" t="s">
        <v>53</v>
      </c>
      <c r="D563" s="3" t="s">
        <v>54</v>
      </c>
      <c r="E563" s="3" t="s">
        <v>27</v>
      </c>
      <c r="F563" s="3" t="n">
        <v>21</v>
      </c>
      <c r="G563" s="36" t="n">
        <v>0.95</v>
      </c>
      <c r="H563" s="36" t="n">
        <f aca="false">F563*G563</f>
        <v>19.95</v>
      </c>
      <c r="I563" s="36" t="n">
        <f aca="false">INDEX(Inventory!$D$2:$D$17,MATCH(C563,Inventory!$A$2:$A$17,0))</f>
        <v>0.55</v>
      </c>
      <c r="J563" s="36" t="n">
        <f aca="false">F563*I563</f>
        <v>11.55</v>
      </c>
      <c r="K563" s="36" t="n">
        <f aca="false">H563-J563</f>
        <v>8.4</v>
      </c>
    </row>
    <row r="564" customFormat="false" ht="15" hidden="false" customHeight="false" outlineLevel="0" collapsed="false">
      <c r="A564" s="41" t="n">
        <v>46239</v>
      </c>
      <c r="B564" s="42" t="n">
        <f aca="false">DATE(YEAR(A564),MONTH(A564),1)</f>
        <v>46235</v>
      </c>
      <c r="C564" s="3" t="s">
        <v>59</v>
      </c>
      <c r="D564" s="3" t="s">
        <v>60</v>
      </c>
      <c r="E564" s="3" t="s">
        <v>27</v>
      </c>
      <c r="F564" s="3" t="n">
        <v>24</v>
      </c>
      <c r="G564" s="36" t="n">
        <v>0.6</v>
      </c>
      <c r="H564" s="36" t="n">
        <f aca="false">F564*G564</f>
        <v>14.4</v>
      </c>
      <c r="I564" s="36" t="n">
        <f aca="false">INDEX(Inventory!$D$2:$D$17,MATCH(C564,Inventory!$A$2:$A$17,0))</f>
        <v>0.3</v>
      </c>
      <c r="J564" s="36" t="n">
        <f aca="false">F564*I564</f>
        <v>7.2</v>
      </c>
      <c r="K564" s="36" t="n">
        <f aca="false">H564-J564</f>
        <v>7.2</v>
      </c>
    </row>
    <row r="565" customFormat="false" ht="15" hidden="false" customHeight="false" outlineLevel="0" collapsed="false">
      <c r="A565" s="41" t="n">
        <v>46239</v>
      </c>
      <c r="B565" s="42" t="n">
        <f aca="false">DATE(YEAR(A565),MONTH(A565),1)</f>
        <v>46235</v>
      </c>
      <c r="C565" s="3" t="s">
        <v>57</v>
      </c>
      <c r="D565" s="3" t="s">
        <v>58</v>
      </c>
      <c r="E565" s="3" t="s">
        <v>27</v>
      </c>
      <c r="F565" s="3" t="n">
        <v>12</v>
      </c>
      <c r="G565" s="36" t="n">
        <v>1.5</v>
      </c>
      <c r="H565" s="36" t="n">
        <f aca="false">F565*G565</f>
        <v>18</v>
      </c>
      <c r="I565" s="36" t="n">
        <f aca="false">INDEX(Inventory!$D$2:$D$17,MATCH(C565,Inventory!$A$2:$A$17,0))</f>
        <v>0.9</v>
      </c>
      <c r="J565" s="36" t="n">
        <f aca="false">F565*I565</f>
        <v>10.8</v>
      </c>
      <c r="K565" s="36" t="n">
        <f aca="false">H565-J565</f>
        <v>7.2</v>
      </c>
    </row>
    <row r="566" customFormat="false" ht="15" hidden="false" customHeight="false" outlineLevel="0" collapsed="false">
      <c r="A566" s="41" t="n">
        <v>46239</v>
      </c>
      <c r="B566" s="42" t="n">
        <f aca="false">DATE(YEAR(A566),MONTH(A566),1)</f>
        <v>46235</v>
      </c>
      <c r="C566" s="3" t="s">
        <v>41</v>
      </c>
      <c r="D566" s="3" t="s">
        <v>42</v>
      </c>
      <c r="E566" s="3" t="s">
        <v>28</v>
      </c>
      <c r="F566" s="3" t="n">
        <v>26</v>
      </c>
      <c r="G566" s="36" t="n">
        <v>1.3</v>
      </c>
      <c r="H566" s="36" t="n">
        <f aca="false">F566*G566</f>
        <v>33.8</v>
      </c>
      <c r="I566" s="36" t="n">
        <f aca="false">INDEX(Inventory!$D$2:$D$17,MATCH(C566,Inventory!$A$2:$A$17,0))</f>
        <v>0.8</v>
      </c>
      <c r="J566" s="36" t="n">
        <f aca="false">F566*I566</f>
        <v>20.8</v>
      </c>
      <c r="K566" s="36" t="n">
        <f aca="false">H566-J566</f>
        <v>13</v>
      </c>
    </row>
    <row r="567" customFormat="false" ht="15" hidden="false" customHeight="false" outlineLevel="0" collapsed="false">
      <c r="A567" s="41" t="n">
        <v>46239</v>
      </c>
      <c r="B567" s="42" t="n">
        <f aca="false">DATE(YEAR(A567),MONTH(A567),1)</f>
        <v>46235</v>
      </c>
      <c r="C567" s="3" t="s">
        <v>63</v>
      </c>
      <c r="D567" s="3" t="s">
        <v>64</v>
      </c>
      <c r="E567" s="3" t="s">
        <v>28</v>
      </c>
      <c r="F567" s="3" t="n">
        <v>9</v>
      </c>
      <c r="G567" s="36" t="n">
        <v>0.9</v>
      </c>
      <c r="H567" s="36" t="n">
        <f aca="false">F567*G567</f>
        <v>8.1</v>
      </c>
      <c r="I567" s="36" t="n">
        <f aca="false">INDEX(Inventory!$D$2:$D$17,MATCH(C567,Inventory!$A$2:$A$17,0))</f>
        <v>0.5</v>
      </c>
      <c r="J567" s="36" t="n">
        <f aca="false">F567*I567</f>
        <v>4.5</v>
      </c>
      <c r="K567" s="36" t="n">
        <f aca="false">H567-J567</f>
        <v>3.6</v>
      </c>
    </row>
    <row r="568" customFormat="false" ht="15" hidden="false" customHeight="false" outlineLevel="0" collapsed="false">
      <c r="A568" s="41" t="n">
        <v>46239</v>
      </c>
      <c r="B568" s="42" t="n">
        <f aca="false">DATE(YEAR(A568),MONTH(A568),1)</f>
        <v>46235</v>
      </c>
      <c r="C568" s="3" t="s">
        <v>49</v>
      </c>
      <c r="D568" s="3" t="s">
        <v>50</v>
      </c>
      <c r="E568" s="3" t="s">
        <v>28</v>
      </c>
      <c r="F568" s="3" t="n">
        <v>25</v>
      </c>
      <c r="G568" s="36" t="n">
        <v>1.2</v>
      </c>
      <c r="H568" s="36" t="n">
        <f aca="false">F568*G568</f>
        <v>30</v>
      </c>
      <c r="I568" s="36" t="n">
        <f aca="false">INDEX(Inventory!$D$2:$D$17,MATCH(C568,Inventory!$A$2:$A$17,0))</f>
        <v>0.7</v>
      </c>
      <c r="J568" s="36" t="n">
        <f aca="false">F568*I568</f>
        <v>17.5</v>
      </c>
      <c r="K568" s="36" t="n">
        <f aca="false">H568-J568</f>
        <v>12.5</v>
      </c>
    </row>
    <row r="569" customFormat="false" ht="15" hidden="false" customHeight="false" outlineLevel="0" collapsed="false">
      <c r="A569" s="41" t="n">
        <v>46239</v>
      </c>
      <c r="B569" s="42" t="n">
        <f aca="false">DATE(YEAR(A569),MONTH(A569),1)</f>
        <v>46235</v>
      </c>
      <c r="C569" s="3" t="s">
        <v>51</v>
      </c>
      <c r="D569" s="3" t="s">
        <v>52</v>
      </c>
      <c r="E569" s="3" t="s">
        <v>28</v>
      </c>
      <c r="F569" s="3" t="n">
        <v>31</v>
      </c>
      <c r="G569" s="36" t="n">
        <v>0.85</v>
      </c>
      <c r="H569" s="36" t="n">
        <f aca="false">F569*G569</f>
        <v>26.35</v>
      </c>
      <c r="I569" s="36" t="n">
        <f aca="false">INDEX(Inventory!$D$2:$D$17,MATCH(C569,Inventory!$A$2:$A$17,0))</f>
        <v>0.45</v>
      </c>
      <c r="J569" s="36" t="n">
        <f aca="false">F569*I569</f>
        <v>13.95</v>
      </c>
      <c r="K569" s="36" t="n">
        <f aca="false">H569-J569</f>
        <v>12.4</v>
      </c>
    </row>
    <row r="570" customFormat="false" ht="15" hidden="false" customHeight="false" outlineLevel="0" collapsed="false">
      <c r="A570" s="41" t="n">
        <v>46239</v>
      </c>
      <c r="B570" s="42" t="n">
        <f aca="false">DATE(YEAR(A570),MONTH(A570),1)</f>
        <v>46235</v>
      </c>
      <c r="C570" s="3" t="s">
        <v>37</v>
      </c>
      <c r="D570" s="3" t="s">
        <v>38</v>
      </c>
      <c r="E570" s="3" t="s">
        <v>26</v>
      </c>
      <c r="F570" s="3" t="n">
        <v>18</v>
      </c>
      <c r="G570" s="36" t="n">
        <v>1.2</v>
      </c>
      <c r="H570" s="36" t="n">
        <f aca="false">F570*G570</f>
        <v>21.6</v>
      </c>
      <c r="I570" s="36" t="n">
        <f aca="false">INDEX(Inventory!$D$2:$D$17,MATCH(C570,Inventory!$A$2:$A$17,0))</f>
        <v>0.85</v>
      </c>
      <c r="J570" s="36" t="n">
        <f aca="false">F570*I570</f>
        <v>15.3</v>
      </c>
      <c r="K570" s="36" t="n">
        <f aca="false">H570-J570</f>
        <v>6.3</v>
      </c>
    </row>
    <row r="571" customFormat="false" ht="15" hidden="false" customHeight="false" outlineLevel="0" collapsed="false">
      <c r="A571" s="41" t="n">
        <v>46239</v>
      </c>
      <c r="B571" s="42" t="n">
        <f aca="false">DATE(YEAR(A571),MONTH(A571),1)</f>
        <v>46235</v>
      </c>
      <c r="C571" s="3" t="s">
        <v>47</v>
      </c>
      <c r="D571" s="3" t="s">
        <v>48</v>
      </c>
      <c r="E571" s="3" t="s">
        <v>26</v>
      </c>
      <c r="F571" s="3" t="n">
        <v>7</v>
      </c>
      <c r="G571" s="36" t="n">
        <v>2.2</v>
      </c>
      <c r="H571" s="36" t="n">
        <f aca="false">F571*G571</f>
        <v>15.4</v>
      </c>
      <c r="I571" s="36" t="n">
        <f aca="false">INDEX(Inventory!$D$2:$D$17,MATCH(C571,Inventory!$A$2:$A$17,0))</f>
        <v>1.4</v>
      </c>
      <c r="J571" s="36" t="n">
        <f aca="false">F571*I571</f>
        <v>9.8</v>
      </c>
      <c r="K571" s="36" t="n">
        <f aca="false">H571-J571</f>
        <v>5.6</v>
      </c>
    </row>
    <row r="572" customFormat="false" ht="15" hidden="false" customHeight="false" outlineLevel="0" collapsed="false">
      <c r="A572" s="41" t="n">
        <v>46239</v>
      </c>
      <c r="B572" s="42" t="n">
        <f aca="false">DATE(YEAR(A572),MONTH(A572),1)</f>
        <v>46235</v>
      </c>
      <c r="C572" s="3" t="s">
        <v>43</v>
      </c>
      <c r="D572" s="3" t="s">
        <v>44</v>
      </c>
      <c r="E572" s="3" t="s">
        <v>26</v>
      </c>
      <c r="F572" s="3" t="n">
        <v>7</v>
      </c>
      <c r="G572" s="36" t="n">
        <v>3.8</v>
      </c>
      <c r="H572" s="36" t="n">
        <f aca="false">F572*G572</f>
        <v>26.6</v>
      </c>
      <c r="I572" s="36" t="n">
        <f aca="false">INDEX(Inventory!$D$2:$D$17,MATCH(C572,Inventory!$A$2:$A$17,0))</f>
        <v>2.6</v>
      </c>
      <c r="J572" s="36" t="n">
        <f aca="false">F572*I572</f>
        <v>18.2</v>
      </c>
      <c r="K572" s="36" t="n">
        <f aca="false">H572-J572</f>
        <v>8.4</v>
      </c>
    </row>
    <row r="573" customFormat="false" ht="15" hidden="false" customHeight="false" outlineLevel="0" collapsed="false">
      <c r="A573" s="41" t="n">
        <v>46239</v>
      </c>
      <c r="B573" s="42" t="n">
        <f aca="false">DATE(YEAR(A573),MONTH(A573),1)</f>
        <v>46235</v>
      </c>
      <c r="C573" s="3" t="s">
        <v>67</v>
      </c>
      <c r="D573" s="3" t="s">
        <v>68</v>
      </c>
      <c r="E573" s="3" t="s">
        <v>26</v>
      </c>
      <c r="F573" s="3" t="n">
        <v>5</v>
      </c>
      <c r="G573" s="36" t="n">
        <v>1.9</v>
      </c>
      <c r="H573" s="36" t="n">
        <f aca="false">F573*G573</f>
        <v>9.5</v>
      </c>
      <c r="I573" s="36" t="n">
        <f aca="false">INDEX(Inventory!$D$2:$D$17,MATCH(C573,Inventory!$A$2:$A$17,0))</f>
        <v>1.3</v>
      </c>
      <c r="J573" s="36" t="n">
        <f aca="false">F573*I573</f>
        <v>6.5</v>
      </c>
      <c r="K573" s="36" t="n">
        <f aca="false">H573-J573</f>
        <v>3</v>
      </c>
    </row>
    <row r="574" customFormat="false" ht="15" hidden="false" customHeight="false" outlineLevel="0" collapsed="false">
      <c r="A574" s="41" t="n">
        <v>46239</v>
      </c>
      <c r="B574" s="42" t="n">
        <f aca="false">DATE(YEAR(A574),MONTH(A574),1)</f>
        <v>46235</v>
      </c>
      <c r="C574" s="3" t="s">
        <v>61</v>
      </c>
      <c r="D574" s="3" t="s">
        <v>62</v>
      </c>
      <c r="E574" s="3" t="s">
        <v>29</v>
      </c>
      <c r="F574" s="3" t="n">
        <v>9</v>
      </c>
      <c r="G574" s="36" t="n">
        <v>1.9</v>
      </c>
      <c r="H574" s="36" t="n">
        <f aca="false">F574*G574</f>
        <v>17.1</v>
      </c>
      <c r="I574" s="36" t="n">
        <f aca="false">INDEX(Inventory!$D$2:$D$17,MATCH(C574,Inventory!$A$2:$A$17,0))</f>
        <v>1.1</v>
      </c>
      <c r="J574" s="36" t="n">
        <f aca="false">F574*I574</f>
        <v>9.9</v>
      </c>
      <c r="K574" s="36" t="n">
        <f aca="false">H574-J574</f>
        <v>7.2</v>
      </c>
    </row>
    <row r="575" customFormat="false" ht="15" hidden="false" customHeight="false" outlineLevel="0" collapsed="false">
      <c r="A575" s="41" t="n">
        <v>46239</v>
      </c>
      <c r="B575" s="42" t="n">
        <f aca="false">DATE(YEAR(A575),MONTH(A575),1)</f>
        <v>46235</v>
      </c>
      <c r="C575" s="3" t="s">
        <v>45</v>
      </c>
      <c r="D575" s="3" t="s">
        <v>46</v>
      </c>
      <c r="E575" s="3" t="s">
        <v>29</v>
      </c>
      <c r="F575" s="3" t="n">
        <v>2</v>
      </c>
      <c r="G575" s="36" t="n">
        <v>5.2</v>
      </c>
      <c r="H575" s="36" t="n">
        <f aca="false">F575*G575</f>
        <v>10.4</v>
      </c>
      <c r="I575" s="36" t="n">
        <f aca="false">INDEX(Inventory!$D$2:$D$17,MATCH(C575,Inventory!$A$2:$A$17,0))</f>
        <v>3.5</v>
      </c>
      <c r="J575" s="36" t="n">
        <f aca="false">F575*I575</f>
        <v>7</v>
      </c>
      <c r="K575" s="36" t="n">
        <f aca="false">H575-J575</f>
        <v>3.4</v>
      </c>
    </row>
    <row r="576" customFormat="false" ht="15" hidden="false" customHeight="false" outlineLevel="0" collapsed="false">
      <c r="A576" s="41" t="n">
        <v>46239</v>
      </c>
      <c r="B576" s="42" t="n">
        <f aca="false">DATE(YEAR(A576),MONTH(A576),1)</f>
        <v>46235</v>
      </c>
      <c r="C576" s="3" t="s">
        <v>65</v>
      </c>
      <c r="D576" s="3" t="s">
        <v>66</v>
      </c>
      <c r="E576" s="3" t="s">
        <v>29</v>
      </c>
      <c r="F576" s="3" t="n">
        <v>8</v>
      </c>
      <c r="G576" s="36" t="n">
        <v>1.5</v>
      </c>
      <c r="H576" s="36" t="n">
        <f aca="false">F576*G576</f>
        <v>12</v>
      </c>
      <c r="I576" s="36" t="n">
        <f aca="false">INDEX(Inventory!$D$2:$D$17,MATCH(C576,Inventory!$A$2:$A$17,0))</f>
        <v>0.9</v>
      </c>
      <c r="J576" s="36" t="n">
        <f aca="false">F576*I576</f>
        <v>7.2</v>
      </c>
      <c r="K576" s="36" t="n">
        <f aca="false">H576-J576</f>
        <v>4.8</v>
      </c>
    </row>
    <row r="577" customFormat="false" ht="15" hidden="false" customHeight="false" outlineLevel="0" collapsed="false">
      <c r="A577" s="41" t="n">
        <v>46239</v>
      </c>
      <c r="B577" s="42" t="n">
        <f aca="false">DATE(YEAR(A577),MONTH(A577),1)</f>
        <v>46235</v>
      </c>
      <c r="C577" s="3" t="s">
        <v>55</v>
      </c>
      <c r="D577" s="3" t="s">
        <v>56</v>
      </c>
      <c r="E577" s="3" t="s">
        <v>29</v>
      </c>
      <c r="F577" s="3" t="n">
        <v>10</v>
      </c>
      <c r="G577" s="36" t="n">
        <v>2.5</v>
      </c>
      <c r="H577" s="36" t="n">
        <f aca="false">F577*G577</f>
        <v>25</v>
      </c>
      <c r="I577" s="36" t="n">
        <f aca="false">INDEX(Inventory!$D$2:$D$17,MATCH(C577,Inventory!$A$2:$A$17,0))</f>
        <v>1.6</v>
      </c>
      <c r="J577" s="36" t="n">
        <f aca="false">F577*I577</f>
        <v>16</v>
      </c>
      <c r="K577" s="36" t="n">
        <f aca="false">H577-J577</f>
        <v>9</v>
      </c>
    </row>
    <row r="578" customFormat="false" ht="15" hidden="false" customHeight="false" outlineLevel="0" collapsed="false">
      <c r="A578" s="41" t="n">
        <v>46240</v>
      </c>
      <c r="B578" s="42" t="n">
        <f aca="false">DATE(YEAR(A578),MONTH(A578),1)</f>
        <v>46235</v>
      </c>
      <c r="C578" s="3" t="s">
        <v>39</v>
      </c>
      <c r="D578" s="3" t="s">
        <v>40</v>
      </c>
      <c r="E578" s="3" t="s">
        <v>27</v>
      </c>
      <c r="F578" s="3" t="n">
        <v>20</v>
      </c>
      <c r="G578" s="36" t="n">
        <v>1</v>
      </c>
      <c r="H578" s="36" t="n">
        <f aca="false">F578*G578</f>
        <v>20</v>
      </c>
      <c r="I578" s="36" t="n">
        <f aca="false">INDEX(Inventory!$D$2:$D$17,MATCH(C578,Inventory!$A$2:$A$17,0))</f>
        <v>0.6</v>
      </c>
      <c r="J578" s="36" t="n">
        <f aca="false">F578*I578</f>
        <v>12</v>
      </c>
      <c r="K578" s="36" t="n">
        <f aca="false">H578-J578</f>
        <v>8</v>
      </c>
    </row>
    <row r="579" customFormat="false" ht="15" hidden="false" customHeight="false" outlineLevel="0" collapsed="false">
      <c r="A579" s="41" t="n">
        <v>46240</v>
      </c>
      <c r="B579" s="42" t="n">
        <f aca="false">DATE(YEAR(A579),MONTH(A579),1)</f>
        <v>46235</v>
      </c>
      <c r="C579" s="3" t="s">
        <v>53</v>
      </c>
      <c r="D579" s="3" t="s">
        <v>54</v>
      </c>
      <c r="E579" s="3" t="s">
        <v>27</v>
      </c>
      <c r="F579" s="3" t="n">
        <v>17</v>
      </c>
      <c r="G579" s="36" t="n">
        <v>0.95</v>
      </c>
      <c r="H579" s="36" t="n">
        <f aca="false">F579*G579</f>
        <v>16.15</v>
      </c>
      <c r="I579" s="36" t="n">
        <f aca="false">INDEX(Inventory!$D$2:$D$17,MATCH(C579,Inventory!$A$2:$A$17,0))</f>
        <v>0.55</v>
      </c>
      <c r="J579" s="36" t="n">
        <f aca="false">F579*I579</f>
        <v>9.35</v>
      </c>
      <c r="K579" s="36" t="n">
        <f aca="false">H579-J579</f>
        <v>6.8</v>
      </c>
    </row>
    <row r="580" customFormat="false" ht="15" hidden="false" customHeight="false" outlineLevel="0" collapsed="false">
      <c r="A580" s="41" t="n">
        <v>46240</v>
      </c>
      <c r="B580" s="42" t="n">
        <f aca="false">DATE(YEAR(A580),MONTH(A580),1)</f>
        <v>46235</v>
      </c>
      <c r="C580" s="3" t="s">
        <v>59</v>
      </c>
      <c r="D580" s="3" t="s">
        <v>60</v>
      </c>
      <c r="E580" s="3" t="s">
        <v>27</v>
      </c>
      <c r="F580" s="3" t="n">
        <v>20</v>
      </c>
      <c r="G580" s="36" t="n">
        <v>0.6</v>
      </c>
      <c r="H580" s="36" t="n">
        <f aca="false">F580*G580</f>
        <v>12</v>
      </c>
      <c r="I580" s="36" t="n">
        <f aca="false">INDEX(Inventory!$D$2:$D$17,MATCH(C580,Inventory!$A$2:$A$17,0))</f>
        <v>0.3</v>
      </c>
      <c r="J580" s="36" t="n">
        <f aca="false">F580*I580</f>
        <v>6</v>
      </c>
      <c r="K580" s="36" t="n">
        <f aca="false">H580-J580</f>
        <v>6</v>
      </c>
    </row>
    <row r="581" customFormat="false" ht="15" hidden="false" customHeight="false" outlineLevel="0" collapsed="false">
      <c r="A581" s="41" t="n">
        <v>46240</v>
      </c>
      <c r="B581" s="42" t="n">
        <f aca="false">DATE(YEAR(A581),MONTH(A581),1)</f>
        <v>46235</v>
      </c>
      <c r="C581" s="3" t="s">
        <v>57</v>
      </c>
      <c r="D581" s="3" t="s">
        <v>58</v>
      </c>
      <c r="E581" s="3" t="s">
        <v>27</v>
      </c>
      <c r="F581" s="3" t="n">
        <v>14</v>
      </c>
      <c r="G581" s="36" t="n">
        <v>1.5</v>
      </c>
      <c r="H581" s="36" t="n">
        <f aca="false">F581*G581</f>
        <v>21</v>
      </c>
      <c r="I581" s="36" t="n">
        <f aca="false">INDEX(Inventory!$D$2:$D$17,MATCH(C581,Inventory!$A$2:$A$17,0))</f>
        <v>0.9</v>
      </c>
      <c r="J581" s="36" t="n">
        <f aca="false">F581*I581</f>
        <v>12.6</v>
      </c>
      <c r="K581" s="36" t="n">
        <f aca="false">H581-J581</f>
        <v>8.4</v>
      </c>
    </row>
    <row r="582" customFormat="false" ht="15" hidden="false" customHeight="false" outlineLevel="0" collapsed="false">
      <c r="A582" s="41" t="n">
        <v>46240</v>
      </c>
      <c r="B582" s="42" t="n">
        <f aca="false">DATE(YEAR(A582),MONTH(A582),1)</f>
        <v>46235</v>
      </c>
      <c r="C582" s="3" t="s">
        <v>41</v>
      </c>
      <c r="D582" s="3" t="s">
        <v>42</v>
      </c>
      <c r="E582" s="3" t="s">
        <v>28</v>
      </c>
      <c r="F582" s="3" t="n">
        <v>20</v>
      </c>
      <c r="G582" s="36" t="n">
        <v>1.3</v>
      </c>
      <c r="H582" s="36" t="n">
        <f aca="false">F582*G582</f>
        <v>26</v>
      </c>
      <c r="I582" s="36" t="n">
        <f aca="false">INDEX(Inventory!$D$2:$D$17,MATCH(C582,Inventory!$A$2:$A$17,0))</f>
        <v>0.8</v>
      </c>
      <c r="J582" s="36" t="n">
        <f aca="false">F582*I582</f>
        <v>16</v>
      </c>
      <c r="K582" s="36" t="n">
        <f aca="false">H582-J582</f>
        <v>10</v>
      </c>
    </row>
    <row r="583" customFormat="false" ht="15" hidden="false" customHeight="false" outlineLevel="0" collapsed="false">
      <c r="A583" s="41" t="n">
        <v>46240</v>
      </c>
      <c r="B583" s="42" t="n">
        <f aca="false">DATE(YEAR(A583),MONTH(A583),1)</f>
        <v>46235</v>
      </c>
      <c r="C583" s="3" t="s">
        <v>63</v>
      </c>
      <c r="D583" s="3" t="s">
        <v>64</v>
      </c>
      <c r="E583" s="3" t="s">
        <v>28</v>
      </c>
      <c r="F583" s="3" t="n">
        <v>21</v>
      </c>
      <c r="G583" s="36" t="n">
        <v>0.9</v>
      </c>
      <c r="H583" s="36" t="n">
        <f aca="false">F583*G583</f>
        <v>18.9</v>
      </c>
      <c r="I583" s="36" t="n">
        <f aca="false">INDEX(Inventory!$D$2:$D$17,MATCH(C583,Inventory!$A$2:$A$17,0))</f>
        <v>0.5</v>
      </c>
      <c r="J583" s="36" t="n">
        <f aca="false">F583*I583</f>
        <v>10.5</v>
      </c>
      <c r="K583" s="36" t="n">
        <f aca="false">H583-J583</f>
        <v>8.4</v>
      </c>
    </row>
    <row r="584" customFormat="false" ht="15" hidden="false" customHeight="false" outlineLevel="0" collapsed="false">
      <c r="A584" s="41" t="n">
        <v>46240</v>
      </c>
      <c r="B584" s="42" t="n">
        <f aca="false">DATE(YEAR(A584),MONTH(A584),1)</f>
        <v>46235</v>
      </c>
      <c r="C584" s="3" t="s">
        <v>49</v>
      </c>
      <c r="D584" s="3" t="s">
        <v>50</v>
      </c>
      <c r="E584" s="3" t="s">
        <v>28</v>
      </c>
      <c r="F584" s="3" t="n">
        <v>17</v>
      </c>
      <c r="G584" s="36" t="n">
        <v>1.2</v>
      </c>
      <c r="H584" s="36" t="n">
        <f aca="false">F584*G584</f>
        <v>20.4</v>
      </c>
      <c r="I584" s="36" t="n">
        <f aca="false">INDEX(Inventory!$D$2:$D$17,MATCH(C584,Inventory!$A$2:$A$17,0))</f>
        <v>0.7</v>
      </c>
      <c r="J584" s="36" t="n">
        <f aca="false">F584*I584</f>
        <v>11.9</v>
      </c>
      <c r="K584" s="36" t="n">
        <f aca="false">H584-J584</f>
        <v>8.5</v>
      </c>
    </row>
    <row r="585" customFormat="false" ht="15" hidden="false" customHeight="false" outlineLevel="0" collapsed="false">
      <c r="A585" s="41" t="n">
        <v>46240</v>
      </c>
      <c r="B585" s="42" t="n">
        <f aca="false">DATE(YEAR(A585),MONTH(A585),1)</f>
        <v>46235</v>
      </c>
      <c r="C585" s="3" t="s">
        <v>51</v>
      </c>
      <c r="D585" s="3" t="s">
        <v>52</v>
      </c>
      <c r="E585" s="3" t="s">
        <v>28</v>
      </c>
      <c r="F585" s="3" t="n">
        <v>21</v>
      </c>
      <c r="G585" s="36" t="n">
        <v>0.85</v>
      </c>
      <c r="H585" s="36" t="n">
        <f aca="false">F585*G585</f>
        <v>17.85</v>
      </c>
      <c r="I585" s="36" t="n">
        <f aca="false">INDEX(Inventory!$D$2:$D$17,MATCH(C585,Inventory!$A$2:$A$17,0))</f>
        <v>0.45</v>
      </c>
      <c r="J585" s="36" t="n">
        <f aca="false">F585*I585</f>
        <v>9.45</v>
      </c>
      <c r="K585" s="36" t="n">
        <f aca="false">H585-J585</f>
        <v>8.4</v>
      </c>
    </row>
    <row r="586" customFormat="false" ht="15" hidden="false" customHeight="false" outlineLevel="0" collapsed="false">
      <c r="A586" s="41" t="n">
        <v>46240</v>
      </c>
      <c r="B586" s="42" t="n">
        <f aca="false">DATE(YEAR(A586),MONTH(A586),1)</f>
        <v>46235</v>
      </c>
      <c r="C586" s="3" t="s">
        <v>37</v>
      </c>
      <c r="D586" s="3" t="s">
        <v>38</v>
      </c>
      <c r="E586" s="3" t="s">
        <v>26</v>
      </c>
      <c r="F586" s="3" t="n">
        <v>28</v>
      </c>
      <c r="G586" s="36" t="n">
        <v>1.2</v>
      </c>
      <c r="H586" s="36" t="n">
        <f aca="false">F586*G586</f>
        <v>33.6</v>
      </c>
      <c r="I586" s="36" t="n">
        <f aca="false">INDEX(Inventory!$D$2:$D$17,MATCH(C586,Inventory!$A$2:$A$17,0))</f>
        <v>0.85</v>
      </c>
      <c r="J586" s="36" t="n">
        <f aca="false">F586*I586</f>
        <v>23.8</v>
      </c>
      <c r="K586" s="36" t="n">
        <f aca="false">H586-J586</f>
        <v>9.8</v>
      </c>
    </row>
    <row r="587" customFormat="false" ht="15" hidden="false" customHeight="false" outlineLevel="0" collapsed="false">
      <c r="A587" s="41" t="n">
        <v>46240</v>
      </c>
      <c r="B587" s="42" t="n">
        <f aca="false">DATE(YEAR(A587),MONTH(A587),1)</f>
        <v>46235</v>
      </c>
      <c r="C587" s="3" t="s">
        <v>47</v>
      </c>
      <c r="D587" s="3" t="s">
        <v>48</v>
      </c>
      <c r="E587" s="3" t="s">
        <v>26</v>
      </c>
      <c r="F587" s="3" t="n">
        <v>9</v>
      </c>
      <c r="G587" s="36" t="n">
        <v>2.2</v>
      </c>
      <c r="H587" s="36" t="n">
        <f aca="false">F587*G587</f>
        <v>19.8</v>
      </c>
      <c r="I587" s="36" t="n">
        <f aca="false">INDEX(Inventory!$D$2:$D$17,MATCH(C587,Inventory!$A$2:$A$17,0))</f>
        <v>1.4</v>
      </c>
      <c r="J587" s="36" t="n">
        <f aca="false">F587*I587</f>
        <v>12.6</v>
      </c>
      <c r="K587" s="36" t="n">
        <f aca="false">H587-J587</f>
        <v>7.2</v>
      </c>
    </row>
    <row r="588" customFormat="false" ht="15" hidden="false" customHeight="false" outlineLevel="0" collapsed="false">
      <c r="A588" s="41" t="n">
        <v>46240</v>
      </c>
      <c r="B588" s="42" t="n">
        <f aca="false">DATE(YEAR(A588),MONTH(A588),1)</f>
        <v>46235</v>
      </c>
      <c r="C588" s="3" t="s">
        <v>43</v>
      </c>
      <c r="D588" s="3" t="s">
        <v>44</v>
      </c>
      <c r="E588" s="3" t="s">
        <v>26</v>
      </c>
      <c r="F588" s="3" t="n">
        <v>5</v>
      </c>
      <c r="G588" s="36" t="n">
        <v>3.8</v>
      </c>
      <c r="H588" s="36" t="n">
        <f aca="false">F588*G588</f>
        <v>19</v>
      </c>
      <c r="I588" s="36" t="n">
        <f aca="false">INDEX(Inventory!$D$2:$D$17,MATCH(C588,Inventory!$A$2:$A$17,0))</f>
        <v>2.6</v>
      </c>
      <c r="J588" s="36" t="n">
        <f aca="false">F588*I588</f>
        <v>13</v>
      </c>
      <c r="K588" s="36" t="n">
        <f aca="false">H588-J588</f>
        <v>6</v>
      </c>
    </row>
    <row r="589" customFormat="false" ht="15" hidden="false" customHeight="false" outlineLevel="0" collapsed="false">
      <c r="A589" s="41" t="n">
        <v>46240</v>
      </c>
      <c r="B589" s="42" t="n">
        <f aca="false">DATE(YEAR(A589),MONTH(A589),1)</f>
        <v>46235</v>
      </c>
      <c r="C589" s="3" t="s">
        <v>67</v>
      </c>
      <c r="D589" s="3" t="s">
        <v>68</v>
      </c>
      <c r="E589" s="3" t="s">
        <v>26</v>
      </c>
      <c r="F589" s="3" t="n">
        <v>7</v>
      </c>
      <c r="G589" s="36" t="n">
        <v>1.9</v>
      </c>
      <c r="H589" s="36" t="n">
        <f aca="false">F589*G589</f>
        <v>13.3</v>
      </c>
      <c r="I589" s="36" t="n">
        <f aca="false">INDEX(Inventory!$D$2:$D$17,MATCH(C589,Inventory!$A$2:$A$17,0))</f>
        <v>1.3</v>
      </c>
      <c r="J589" s="36" t="n">
        <f aca="false">F589*I589</f>
        <v>9.1</v>
      </c>
      <c r="K589" s="36" t="n">
        <f aca="false">H589-J589</f>
        <v>4.2</v>
      </c>
    </row>
    <row r="590" customFormat="false" ht="15" hidden="false" customHeight="false" outlineLevel="0" collapsed="false">
      <c r="A590" s="41" t="n">
        <v>46240</v>
      </c>
      <c r="B590" s="42" t="n">
        <f aca="false">DATE(YEAR(A590),MONTH(A590),1)</f>
        <v>46235</v>
      </c>
      <c r="C590" s="3" t="s">
        <v>61</v>
      </c>
      <c r="D590" s="3" t="s">
        <v>62</v>
      </c>
      <c r="E590" s="3" t="s">
        <v>29</v>
      </c>
      <c r="F590" s="3" t="n">
        <v>9</v>
      </c>
      <c r="G590" s="36" t="n">
        <v>1.9</v>
      </c>
      <c r="H590" s="36" t="n">
        <f aca="false">F590*G590</f>
        <v>17.1</v>
      </c>
      <c r="I590" s="36" t="n">
        <f aca="false">INDEX(Inventory!$D$2:$D$17,MATCH(C590,Inventory!$A$2:$A$17,0))</f>
        <v>1.1</v>
      </c>
      <c r="J590" s="36" t="n">
        <f aca="false">F590*I590</f>
        <v>9.9</v>
      </c>
      <c r="K590" s="36" t="n">
        <f aca="false">H590-J590</f>
        <v>7.2</v>
      </c>
    </row>
    <row r="591" customFormat="false" ht="15" hidden="false" customHeight="false" outlineLevel="0" collapsed="false">
      <c r="A591" s="41" t="n">
        <v>46240</v>
      </c>
      <c r="B591" s="42" t="n">
        <f aca="false">DATE(YEAR(A591),MONTH(A591),1)</f>
        <v>46235</v>
      </c>
      <c r="C591" s="3" t="s">
        <v>45</v>
      </c>
      <c r="D591" s="3" t="s">
        <v>46</v>
      </c>
      <c r="E591" s="3" t="s">
        <v>29</v>
      </c>
      <c r="F591" s="3" t="n">
        <v>5</v>
      </c>
      <c r="G591" s="36" t="n">
        <v>5.2</v>
      </c>
      <c r="H591" s="36" t="n">
        <f aca="false">F591*G591</f>
        <v>26</v>
      </c>
      <c r="I591" s="36" t="n">
        <f aca="false">INDEX(Inventory!$D$2:$D$17,MATCH(C591,Inventory!$A$2:$A$17,0))</f>
        <v>3.5</v>
      </c>
      <c r="J591" s="36" t="n">
        <f aca="false">F591*I591</f>
        <v>17.5</v>
      </c>
      <c r="K591" s="36" t="n">
        <f aca="false">H591-J591</f>
        <v>8.5</v>
      </c>
    </row>
    <row r="592" customFormat="false" ht="15" hidden="false" customHeight="false" outlineLevel="0" collapsed="false">
      <c r="A592" s="41" t="n">
        <v>46240</v>
      </c>
      <c r="B592" s="42" t="n">
        <f aca="false">DATE(YEAR(A592),MONTH(A592),1)</f>
        <v>46235</v>
      </c>
      <c r="C592" s="3" t="s">
        <v>65</v>
      </c>
      <c r="D592" s="3" t="s">
        <v>66</v>
      </c>
      <c r="E592" s="3" t="s">
        <v>29</v>
      </c>
      <c r="F592" s="3" t="n">
        <v>9</v>
      </c>
      <c r="G592" s="36" t="n">
        <v>1.5</v>
      </c>
      <c r="H592" s="36" t="n">
        <f aca="false">F592*G592</f>
        <v>13.5</v>
      </c>
      <c r="I592" s="36" t="n">
        <f aca="false">INDEX(Inventory!$D$2:$D$17,MATCH(C592,Inventory!$A$2:$A$17,0))</f>
        <v>0.9</v>
      </c>
      <c r="J592" s="36" t="n">
        <f aca="false">F592*I592</f>
        <v>8.1</v>
      </c>
      <c r="K592" s="36" t="n">
        <f aca="false">H592-J592</f>
        <v>5.4</v>
      </c>
    </row>
    <row r="593" customFormat="false" ht="15" hidden="false" customHeight="false" outlineLevel="0" collapsed="false">
      <c r="A593" s="41" t="n">
        <v>46240</v>
      </c>
      <c r="B593" s="42" t="n">
        <f aca="false">DATE(YEAR(A593),MONTH(A593),1)</f>
        <v>46235</v>
      </c>
      <c r="C593" s="3" t="s">
        <v>55</v>
      </c>
      <c r="D593" s="3" t="s">
        <v>56</v>
      </c>
      <c r="E593" s="3" t="s">
        <v>29</v>
      </c>
      <c r="F593" s="3" t="n">
        <v>6</v>
      </c>
      <c r="G593" s="36" t="n">
        <v>2.5</v>
      </c>
      <c r="H593" s="36" t="n">
        <f aca="false">F593*G593</f>
        <v>15</v>
      </c>
      <c r="I593" s="36" t="n">
        <f aca="false">INDEX(Inventory!$D$2:$D$17,MATCH(C593,Inventory!$A$2:$A$17,0))</f>
        <v>1.6</v>
      </c>
      <c r="J593" s="36" t="n">
        <f aca="false">F593*I593</f>
        <v>9.6</v>
      </c>
      <c r="K593" s="36" t="n">
        <f aca="false">H593-J593</f>
        <v>5.4</v>
      </c>
    </row>
    <row r="594" customFormat="false" ht="15" hidden="false" customHeight="false" outlineLevel="0" collapsed="false">
      <c r="A594" s="41" t="n">
        <v>46241</v>
      </c>
      <c r="B594" s="42" t="n">
        <f aca="false">DATE(YEAR(A594),MONTH(A594),1)</f>
        <v>46235</v>
      </c>
      <c r="C594" s="3" t="s">
        <v>39</v>
      </c>
      <c r="D594" s="3" t="s">
        <v>40</v>
      </c>
      <c r="E594" s="3" t="s">
        <v>27</v>
      </c>
      <c r="F594" s="3" t="n">
        <v>34</v>
      </c>
      <c r="G594" s="36" t="n">
        <v>1</v>
      </c>
      <c r="H594" s="36" t="n">
        <f aca="false">F594*G594</f>
        <v>34</v>
      </c>
      <c r="I594" s="36" t="n">
        <f aca="false">INDEX(Inventory!$D$2:$D$17,MATCH(C594,Inventory!$A$2:$A$17,0))</f>
        <v>0.6</v>
      </c>
      <c r="J594" s="36" t="n">
        <f aca="false">F594*I594</f>
        <v>20.4</v>
      </c>
      <c r="K594" s="36" t="n">
        <f aca="false">H594-J594</f>
        <v>13.6</v>
      </c>
    </row>
    <row r="595" customFormat="false" ht="15" hidden="false" customHeight="false" outlineLevel="0" collapsed="false">
      <c r="A595" s="41" t="n">
        <v>46241</v>
      </c>
      <c r="B595" s="42" t="n">
        <f aca="false">DATE(YEAR(A595),MONTH(A595),1)</f>
        <v>46235</v>
      </c>
      <c r="C595" s="3" t="s">
        <v>53</v>
      </c>
      <c r="D595" s="3" t="s">
        <v>54</v>
      </c>
      <c r="E595" s="3" t="s">
        <v>27</v>
      </c>
      <c r="F595" s="3" t="n">
        <v>29</v>
      </c>
      <c r="G595" s="36" t="n">
        <v>0.95</v>
      </c>
      <c r="H595" s="36" t="n">
        <f aca="false">F595*G595</f>
        <v>27.55</v>
      </c>
      <c r="I595" s="36" t="n">
        <f aca="false">INDEX(Inventory!$D$2:$D$17,MATCH(C595,Inventory!$A$2:$A$17,0))</f>
        <v>0.55</v>
      </c>
      <c r="J595" s="36" t="n">
        <f aca="false">F595*I595</f>
        <v>15.95</v>
      </c>
      <c r="K595" s="36" t="n">
        <f aca="false">H595-J595</f>
        <v>11.6</v>
      </c>
    </row>
    <row r="596" customFormat="false" ht="15" hidden="false" customHeight="false" outlineLevel="0" collapsed="false">
      <c r="A596" s="41" t="n">
        <v>46241</v>
      </c>
      <c r="B596" s="42" t="n">
        <f aca="false">DATE(YEAR(A596),MONTH(A596),1)</f>
        <v>46235</v>
      </c>
      <c r="C596" s="3" t="s">
        <v>59</v>
      </c>
      <c r="D596" s="3" t="s">
        <v>60</v>
      </c>
      <c r="E596" s="3" t="s">
        <v>27</v>
      </c>
      <c r="F596" s="3" t="n">
        <v>28</v>
      </c>
      <c r="G596" s="36" t="n">
        <v>0.6</v>
      </c>
      <c r="H596" s="36" t="n">
        <f aca="false">F596*G596</f>
        <v>16.8</v>
      </c>
      <c r="I596" s="36" t="n">
        <f aca="false">INDEX(Inventory!$D$2:$D$17,MATCH(C596,Inventory!$A$2:$A$17,0))</f>
        <v>0.3</v>
      </c>
      <c r="J596" s="36" t="n">
        <f aca="false">F596*I596</f>
        <v>8.4</v>
      </c>
      <c r="K596" s="36" t="n">
        <f aca="false">H596-J596</f>
        <v>8.4</v>
      </c>
    </row>
    <row r="597" customFormat="false" ht="15" hidden="false" customHeight="false" outlineLevel="0" collapsed="false">
      <c r="A597" s="41" t="n">
        <v>46241</v>
      </c>
      <c r="B597" s="42" t="n">
        <f aca="false">DATE(YEAR(A597),MONTH(A597),1)</f>
        <v>46235</v>
      </c>
      <c r="C597" s="3" t="s">
        <v>57</v>
      </c>
      <c r="D597" s="3" t="s">
        <v>58</v>
      </c>
      <c r="E597" s="3" t="s">
        <v>27</v>
      </c>
      <c r="F597" s="3" t="n">
        <v>20</v>
      </c>
      <c r="G597" s="36" t="n">
        <v>1.5</v>
      </c>
      <c r="H597" s="36" t="n">
        <f aca="false">F597*G597</f>
        <v>30</v>
      </c>
      <c r="I597" s="36" t="n">
        <f aca="false">INDEX(Inventory!$D$2:$D$17,MATCH(C597,Inventory!$A$2:$A$17,0))</f>
        <v>0.9</v>
      </c>
      <c r="J597" s="36" t="n">
        <f aca="false">F597*I597</f>
        <v>18</v>
      </c>
      <c r="K597" s="36" t="n">
        <f aca="false">H597-J597</f>
        <v>12</v>
      </c>
    </row>
    <row r="598" customFormat="false" ht="15" hidden="false" customHeight="false" outlineLevel="0" collapsed="false">
      <c r="A598" s="41" t="n">
        <v>46241</v>
      </c>
      <c r="B598" s="42" t="n">
        <f aca="false">DATE(YEAR(A598),MONTH(A598),1)</f>
        <v>46235</v>
      </c>
      <c r="C598" s="3" t="s">
        <v>41</v>
      </c>
      <c r="D598" s="3" t="s">
        <v>42</v>
      </c>
      <c r="E598" s="3" t="s">
        <v>28</v>
      </c>
      <c r="F598" s="3" t="n">
        <v>23</v>
      </c>
      <c r="G598" s="36" t="n">
        <v>1.3</v>
      </c>
      <c r="H598" s="36" t="n">
        <f aca="false">F598*G598</f>
        <v>29.9</v>
      </c>
      <c r="I598" s="36" t="n">
        <f aca="false">INDEX(Inventory!$D$2:$D$17,MATCH(C598,Inventory!$A$2:$A$17,0))</f>
        <v>0.8</v>
      </c>
      <c r="J598" s="36" t="n">
        <f aca="false">F598*I598</f>
        <v>18.4</v>
      </c>
      <c r="K598" s="36" t="n">
        <f aca="false">H598-J598</f>
        <v>11.5</v>
      </c>
    </row>
    <row r="599" customFormat="false" ht="15" hidden="false" customHeight="false" outlineLevel="0" collapsed="false">
      <c r="A599" s="41" t="n">
        <v>46241</v>
      </c>
      <c r="B599" s="42" t="n">
        <f aca="false">DATE(YEAR(A599),MONTH(A599),1)</f>
        <v>46235</v>
      </c>
      <c r="C599" s="3" t="s">
        <v>63</v>
      </c>
      <c r="D599" s="3" t="s">
        <v>64</v>
      </c>
      <c r="E599" s="3" t="s">
        <v>28</v>
      </c>
      <c r="F599" s="3" t="n">
        <v>14</v>
      </c>
      <c r="G599" s="36" t="n">
        <v>0.9</v>
      </c>
      <c r="H599" s="36" t="n">
        <f aca="false">F599*G599</f>
        <v>12.6</v>
      </c>
      <c r="I599" s="36" t="n">
        <f aca="false">INDEX(Inventory!$D$2:$D$17,MATCH(C599,Inventory!$A$2:$A$17,0))</f>
        <v>0.5</v>
      </c>
      <c r="J599" s="36" t="n">
        <f aca="false">F599*I599</f>
        <v>7</v>
      </c>
      <c r="K599" s="36" t="n">
        <f aca="false">H599-J599</f>
        <v>5.6</v>
      </c>
    </row>
    <row r="600" customFormat="false" ht="15" hidden="false" customHeight="false" outlineLevel="0" collapsed="false">
      <c r="A600" s="41" t="n">
        <v>46241</v>
      </c>
      <c r="B600" s="42" t="n">
        <f aca="false">DATE(YEAR(A600),MONTH(A600),1)</f>
        <v>46235</v>
      </c>
      <c r="C600" s="3" t="s">
        <v>49</v>
      </c>
      <c r="D600" s="3" t="s">
        <v>50</v>
      </c>
      <c r="E600" s="3" t="s">
        <v>28</v>
      </c>
      <c r="F600" s="3" t="n">
        <v>29</v>
      </c>
      <c r="G600" s="36" t="n">
        <v>1.2</v>
      </c>
      <c r="H600" s="36" t="n">
        <f aca="false">F600*G600</f>
        <v>34.8</v>
      </c>
      <c r="I600" s="36" t="n">
        <f aca="false">INDEX(Inventory!$D$2:$D$17,MATCH(C600,Inventory!$A$2:$A$17,0))</f>
        <v>0.7</v>
      </c>
      <c r="J600" s="36" t="n">
        <f aca="false">F600*I600</f>
        <v>20.3</v>
      </c>
      <c r="K600" s="36" t="n">
        <f aca="false">H600-J600</f>
        <v>14.5</v>
      </c>
    </row>
    <row r="601" customFormat="false" ht="15" hidden="false" customHeight="false" outlineLevel="0" collapsed="false">
      <c r="A601" s="41" t="n">
        <v>46241</v>
      </c>
      <c r="B601" s="42" t="n">
        <f aca="false">DATE(YEAR(A601),MONTH(A601),1)</f>
        <v>46235</v>
      </c>
      <c r="C601" s="3" t="s">
        <v>51</v>
      </c>
      <c r="D601" s="3" t="s">
        <v>52</v>
      </c>
      <c r="E601" s="3" t="s">
        <v>28</v>
      </c>
      <c r="F601" s="3" t="n">
        <v>27</v>
      </c>
      <c r="G601" s="36" t="n">
        <v>0.85</v>
      </c>
      <c r="H601" s="36" t="n">
        <f aca="false">F601*G601</f>
        <v>22.95</v>
      </c>
      <c r="I601" s="36" t="n">
        <f aca="false">INDEX(Inventory!$D$2:$D$17,MATCH(C601,Inventory!$A$2:$A$17,0))</f>
        <v>0.45</v>
      </c>
      <c r="J601" s="36" t="n">
        <f aca="false">F601*I601</f>
        <v>12.15</v>
      </c>
      <c r="K601" s="36" t="n">
        <f aca="false">H601-J601</f>
        <v>10.8</v>
      </c>
    </row>
    <row r="602" customFormat="false" ht="15" hidden="false" customHeight="false" outlineLevel="0" collapsed="false">
      <c r="A602" s="41" t="n">
        <v>46241</v>
      </c>
      <c r="B602" s="42" t="n">
        <f aca="false">DATE(YEAR(A602),MONTH(A602),1)</f>
        <v>46235</v>
      </c>
      <c r="C602" s="3" t="s">
        <v>37</v>
      </c>
      <c r="D602" s="3" t="s">
        <v>38</v>
      </c>
      <c r="E602" s="3" t="s">
        <v>26</v>
      </c>
      <c r="F602" s="3" t="n">
        <v>37</v>
      </c>
      <c r="G602" s="36" t="n">
        <v>1.2</v>
      </c>
      <c r="H602" s="36" t="n">
        <f aca="false">F602*G602</f>
        <v>44.4</v>
      </c>
      <c r="I602" s="36" t="n">
        <f aca="false">INDEX(Inventory!$D$2:$D$17,MATCH(C602,Inventory!$A$2:$A$17,0))</f>
        <v>0.85</v>
      </c>
      <c r="J602" s="36" t="n">
        <f aca="false">F602*I602</f>
        <v>31.45</v>
      </c>
      <c r="K602" s="36" t="n">
        <f aca="false">H602-J602</f>
        <v>12.95</v>
      </c>
    </row>
    <row r="603" customFormat="false" ht="15" hidden="false" customHeight="false" outlineLevel="0" collapsed="false">
      <c r="A603" s="41" t="n">
        <v>46241</v>
      </c>
      <c r="B603" s="42" t="n">
        <f aca="false">DATE(YEAR(A603),MONTH(A603),1)</f>
        <v>46235</v>
      </c>
      <c r="C603" s="3" t="s">
        <v>47</v>
      </c>
      <c r="D603" s="3" t="s">
        <v>48</v>
      </c>
      <c r="E603" s="3" t="s">
        <v>26</v>
      </c>
      <c r="F603" s="3" t="n">
        <v>14</v>
      </c>
      <c r="G603" s="36" t="n">
        <v>2.2</v>
      </c>
      <c r="H603" s="36" t="n">
        <f aca="false">F603*G603</f>
        <v>30.8</v>
      </c>
      <c r="I603" s="36" t="n">
        <f aca="false">INDEX(Inventory!$D$2:$D$17,MATCH(C603,Inventory!$A$2:$A$17,0))</f>
        <v>1.4</v>
      </c>
      <c r="J603" s="36" t="n">
        <f aca="false">F603*I603</f>
        <v>19.6</v>
      </c>
      <c r="K603" s="36" t="n">
        <f aca="false">H603-J603</f>
        <v>11.2</v>
      </c>
    </row>
    <row r="604" customFormat="false" ht="15" hidden="false" customHeight="false" outlineLevel="0" collapsed="false">
      <c r="A604" s="41" t="n">
        <v>46241</v>
      </c>
      <c r="B604" s="42" t="n">
        <f aca="false">DATE(YEAR(A604),MONTH(A604),1)</f>
        <v>46235</v>
      </c>
      <c r="C604" s="3" t="s">
        <v>43</v>
      </c>
      <c r="D604" s="3" t="s">
        <v>44</v>
      </c>
      <c r="E604" s="3" t="s">
        <v>26</v>
      </c>
      <c r="F604" s="3" t="n">
        <v>5</v>
      </c>
      <c r="G604" s="36" t="n">
        <v>3.8</v>
      </c>
      <c r="H604" s="36" t="n">
        <f aca="false">F604*G604</f>
        <v>19</v>
      </c>
      <c r="I604" s="36" t="n">
        <f aca="false">INDEX(Inventory!$D$2:$D$17,MATCH(C604,Inventory!$A$2:$A$17,0))</f>
        <v>2.6</v>
      </c>
      <c r="J604" s="36" t="n">
        <f aca="false">F604*I604</f>
        <v>13</v>
      </c>
      <c r="K604" s="36" t="n">
        <f aca="false">H604-J604</f>
        <v>6</v>
      </c>
    </row>
    <row r="605" customFormat="false" ht="15" hidden="false" customHeight="false" outlineLevel="0" collapsed="false">
      <c r="A605" s="41" t="n">
        <v>46241</v>
      </c>
      <c r="B605" s="42" t="n">
        <f aca="false">DATE(YEAR(A605),MONTH(A605),1)</f>
        <v>46235</v>
      </c>
      <c r="C605" s="3" t="s">
        <v>67</v>
      </c>
      <c r="D605" s="3" t="s">
        <v>68</v>
      </c>
      <c r="E605" s="3" t="s">
        <v>26</v>
      </c>
      <c r="F605" s="3" t="n">
        <v>7</v>
      </c>
      <c r="G605" s="36" t="n">
        <v>1.9</v>
      </c>
      <c r="H605" s="36" t="n">
        <f aca="false">F605*G605</f>
        <v>13.3</v>
      </c>
      <c r="I605" s="36" t="n">
        <f aca="false">INDEX(Inventory!$D$2:$D$17,MATCH(C605,Inventory!$A$2:$A$17,0))</f>
        <v>1.3</v>
      </c>
      <c r="J605" s="36" t="n">
        <f aca="false">F605*I605</f>
        <v>9.1</v>
      </c>
      <c r="K605" s="36" t="n">
        <f aca="false">H605-J605</f>
        <v>4.2</v>
      </c>
    </row>
    <row r="606" customFormat="false" ht="15" hidden="false" customHeight="false" outlineLevel="0" collapsed="false">
      <c r="A606" s="41" t="n">
        <v>46241</v>
      </c>
      <c r="B606" s="42" t="n">
        <f aca="false">DATE(YEAR(A606),MONTH(A606),1)</f>
        <v>46235</v>
      </c>
      <c r="C606" s="3" t="s">
        <v>61</v>
      </c>
      <c r="D606" s="3" t="s">
        <v>62</v>
      </c>
      <c r="E606" s="3" t="s">
        <v>29</v>
      </c>
      <c r="F606" s="3" t="n">
        <v>10</v>
      </c>
      <c r="G606" s="36" t="n">
        <v>1.9</v>
      </c>
      <c r="H606" s="36" t="n">
        <f aca="false">F606*G606</f>
        <v>19</v>
      </c>
      <c r="I606" s="36" t="n">
        <f aca="false">INDEX(Inventory!$D$2:$D$17,MATCH(C606,Inventory!$A$2:$A$17,0))</f>
        <v>1.1</v>
      </c>
      <c r="J606" s="36" t="n">
        <f aca="false">F606*I606</f>
        <v>11</v>
      </c>
      <c r="K606" s="36" t="n">
        <f aca="false">H606-J606</f>
        <v>8</v>
      </c>
    </row>
    <row r="607" customFormat="false" ht="15" hidden="false" customHeight="false" outlineLevel="0" collapsed="false">
      <c r="A607" s="41" t="n">
        <v>46241</v>
      </c>
      <c r="B607" s="42" t="n">
        <f aca="false">DATE(YEAR(A607),MONTH(A607),1)</f>
        <v>46235</v>
      </c>
      <c r="C607" s="3" t="s">
        <v>45</v>
      </c>
      <c r="D607" s="3" t="s">
        <v>46</v>
      </c>
      <c r="E607" s="3" t="s">
        <v>29</v>
      </c>
      <c r="F607" s="3" t="n">
        <v>4</v>
      </c>
      <c r="G607" s="36" t="n">
        <v>5.2</v>
      </c>
      <c r="H607" s="36" t="n">
        <f aca="false">F607*G607</f>
        <v>20.8</v>
      </c>
      <c r="I607" s="36" t="n">
        <f aca="false">INDEX(Inventory!$D$2:$D$17,MATCH(C607,Inventory!$A$2:$A$17,0))</f>
        <v>3.5</v>
      </c>
      <c r="J607" s="36" t="n">
        <f aca="false">F607*I607</f>
        <v>14</v>
      </c>
      <c r="K607" s="36" t="n">
        <f aca="false">H607-J607</f>
        <v>6.8</v>
      </c>
    </row>
    <row r="608" customFormat="false" ht="15" hidden="false" customHeight="false" outlineLevel="0" collapsed="false">
      <c r="A608" s="41" t="n">
        <v>46241</v>
      </c>
      <c r="B608" s="42" t="n">
        <f aca="false">DATE(YEAR(A608),MONTH(A608),1)</f>
        <v>46235</v>
      </c>
      <c r="C608" s="3" t="s">
        <v>65</v>
      </c>
      <c r="D608" s="3" t="s">
        <v>66</v>
      </c>
      <c r="E608" s="3" t="s">
        <v>29</v>
      </c>
      <c r="F608" s="3" t="n">
        <v>6</v>
      </c>
      <c r="G608" s="36" t="n">
        <v>1.5</v>
      </c>
      <c r="H608" s="36" t="n">
        <f aca="false">F608*G608</f>
        <v>9</v>
      </c>
      <c r="I608" s="36" t="n">
        <f aca="false">INDEX(Inventory!$D$2:$D$17,MATCH(C608,Inventory!$A$2:$A$17,0))</f>
        <v>0.9</v>
      </c>
      <c r="J608" s="36" t="n">
        <f aca="false">F608*I608</f>
        <v>5.4</v>
      </c>
      <c r="K608" s="36" t="n">
        <f aca="false">H608-J608</f>
        <v>3.6</v>
      </c>
    </row>
    <row r="609" customFormat="false" ht="15" hidden="false" customHeight="false" outlineLevel="0" collapsed="false">
      <c r="A609" s="41" t="n">
        <v>46241</v>
      </c>
      <c r="B609" s="42" t="n">
        <f aca="false">DATE(YEAR(A609),MONTH(A609),1)</f>
        <v>46235</v>
      </c>
      <c r="C609" s="3" t="s">
        <v>55</v>
      </c>
      <c r="D609" s="3" t="s">
        <v>56</v>
      </c>
      <c r="E609" s="3" t="s">
        <v>29</v>
      </c>
      <c r="F609" s="3" t="n">
        <v>9</v>
      </c>
      <c r="G609" s="36" t="n">
        <v>2.5</v>
      </c>
      <c r="H609" s="36" t="n">
        <f aca="false">F609*G609</f>
        <v>22.5</v>
      </c>
      <c r="I609" s="36" t="n">
        <f aca="false">INDEX(Inventory!$D$2:$D$17,MATCH(C609,Inventory!$A$2:$A$17,0))</f>
        <v>1.6</v>
      </c>
      <c r="J609" s="36" t="n">
        <f aca="false">F609*I609</f>
        <v>14.4</v>
      </c>
      <c r="K609" s="36" t="n">
        <f aca="false">H609-J609</f>
        <v>8.1</v>
      </c>
    </row>
    <row r="610" customFormat="false" ht="15" hidden="false" customHeight="false" outlineLevel="0" collapsed="false">
      <c r="A610" s="41" t="n">
        <v>46242</v>
      </c>
      <c r="B610" s="42" t="n">
        <f aca="false">DATE(YEAR(A610),MONTH(A610),1)</f>
        <v>46235</v>
      </c>
      <c r="C610" s="3" t="s">
        <v>39</v>
      </c>
      <c r="D610" s="3" t="s">
        <v>40</v>
      </c>
      <c r="E610" s="3" t="s">
        <v>27</v>
      </c>
      <c r="F610" s="3" t="n">
        <v>40</v>
      </c>
      <c r="G610" s="36" t="n">
        <v>1</v>
      </c>
      <c r="H610" s="36" t="n">
        <f aca="false">F610*G610</f>
        <v>40</v>
      </c>
      <c r="I610" s="36" t="n">
        <f aca="false">INDEX(Inventory!$D$2:$D$17,MATCH(C610,Inventory!$A$2:$A$17,0))</f>
        <v>0.6</v>
      </c>
      <c r="J610" s="36" t="n">
        <f aca="false">F610*I610</f>
        <v>24</v>
      </c>
      <c r="K610" s="36" t="n">
        <f aca="false">H610-J610</f>
        <v>16</v>
      </c>
    </row>
    <row r="611" customFormat="false" ht="15" hidden="false" customHeight="false" outlineLevel="0" collapsed="false">
      <c r="A611" s="41" t="n">
        <v>46242</v>
      </c>
      <c r="B611" s="42" t="n">
        <f aca="false">DATE(YEAR(A611),MONTH(A611),1)</f>
        <v>46235</v>
      </c>
      <c r="C611" s="3" t="s">
        <v>53</v>
      </c>
      <c r="D611" s="3" t="s">
        <v>54</v>
      </c>
      <c r="E611" s="3" t="s">
        <v>27</v>
      </c>
      <c r="F611" s="3" t="n">
        <v>27</v>
      </c>
      <c r="G611" s="36" t="n">
        <v>0.95</v>
      </c>
      <c r="H611" s="36" t="n">
        <f aca="false">F611*G611</f>
        <v>25.65</v>
      </c>
      <c r="I611" s="36" t="n">
        <f aca="false">INDEX(Inventory!$D$2:$D$17,MATCH(C611,Inventory!$A$2:$A$17,0))</f>
        <v>0.55</v>
      </c>
      <c r="J611" s="36" t="n">
        <f aca="false">F611*I611</f>
        <v>14.85</v>
      </c>
      <c r="K611" s="36" t="n">
        <f aca="false">H611-J611</f>
        <v>10.8</v>
      </c>
    </row>
    <row r="612" customFormat="false" ht="15" hidden="false" customHeight="false" outlineLevel="0" collapsed="false">
      <c r="A612" s="41" t="n">
        <v>46242</v>
      </c>
      <c r="B612" s="42" t="n">
        <f aca="false">DATE(YEAR(A612),MONTH(A612),1)</f>
        <v>46235</v>
      </c>
      <c r="C612" s="3" t="s">
        <v>59</v>
      </c>
      <c r="D612" s="3" t="s">
        <v>60</v>
      </c>
      <c r="E612" s="3" t="s">
        <v>27</v>
      </c>
      <c r="F612" s="3" t="n">
        <v>40</v>
      </c>
      <c r="G612" s="36" t="n">
        <v>0.6</v>
      </c>
      <c r="H612" s="36" t="n">
        <f aca="false">F612*G612</f>
        <v>24</v>
      </c>
      <c r="I612" s="36" t="n">
        <f aca="false">INDEX(Inventory!$D$2:$D$17,MATCH(C612,Inventory!$A$2:$A$17,0))</f>
        <v>0.3</v>
      </c>
      <c r="J612" s="36" t="n">
        <f aca="false">F612*I612</f>
        <v>12</v>
      </c>
      <c r="K612" s="36" t="n">
        <f aca="false">H612-J612</f>
        <v>12</v>
      </c>
    </row>
    <row r="613" customFormat="false" ht="15" hidden="false" customHeight="false" outlineLevel="0" collapsed="false">
      <c r="A613" s="41" t="n">
        <v>46242</v>
      </c>
      <c r="B613" s="42" t="n">
        <f aca="false">DATE(YEAR(A613),MONTH(A613),1)</f>
        <v>46235</v>
      </c>
      <c r="C613" s="3" t="s">
        <v>57</v>
      </c>
      <c r="D613" s="3" t="s">
        <v>58</v>
      </c>
      <c r="E613" s="3" t="s">
        <v>27</v>
      </c>
      <c r="F613" s="3" t="n">
        <v>14</v>
      </c>
      <c r="G613" s="36" t="n">
        <v>1.5</v>
      </c>
      <c r="H613" s="36" t="n">
        <f aca="false">F613*G613</f>
        <v>21</v>
      </c>
      <c r="I613" s="36" t="n">
        <f aca="false">INDEX(Inventory!$D$2:$D$17,MATCH(C613,Inventory!$A$2:$A$17,0))</f>
        <v>0.9</v>
      </c>
      <c r="J613" s="36" t="n">
        <f aca="false">F613*I613</f>
        <v>12.6</v>
      </c>
      <c r="K613" s="36" t="n">
        <f aca="false">H613-J613</f>
        <v>8.4</v>
      </c>
    </row>
    <row r="614" customFormat="false" ht="15" hidden="false" customHeight="false" outlineLevel="0" collapsed="false">
      <c r="A614" s="41" t="n">
        <v>46242</v>
      </c>
      <c r="B614" s="42" t="n">
        <f aca="false">DATE(YEAR(A614),MONTH(A614),1)</f>
        <v>46235</v>
      </c>
      <c r="C614" s="3" t="s">
        <v>41</v>
      </c>
      <c r="D614" s="3" t="s">
        <v>42</v>
      </c>
      <c r="E614" s="3" t="s">
        <v>28</v>
      </c>
      <c r="F614" s="3" t="n">
        <v>23</v>
      </c>
      <c r="G614" s="36" t="n">
        <v>1.3</v>
      </c>
      <c r="H614" s="36" t="n">
        <f aca="false">F614*G614</f>
        <v>29.9</v>
      </c>
      <c r="I614" s="36" t="n">
        <f aca="false">INDEX(Inventory!$D$2:$D$17,MATCH(C614,Inventory!$A$2:$A$17,0))</f>
        <v>0.8</v>
      </c>
      <c r="J614" s="36" t="n">
        <f aca="false">F614*I614</f>
        <v>18.4</v>
      </c>
      <c r="K614" s="36" t="n">
        <f aca="false">H614-J614</f>
        <v>11.5</v>
      </c>
    </row>
    <row r="615" customFormat="false" ht="15" hidden="false" customHeight="false" outlineLevel="0" collapsed="false">
      <c r="A615" s="41" t="n">
        <v>46242</v>
      </c>
      <c r="B615" s="42" t="n">
        <f aca="false">DATE(YEAR(A615),MONTH(A615),1)</f>
        <v>46235</v>
      </c>
      <c r="C615" s="3" t="s">
        <v>63</v>
      </c>
      <c r="D615" s="3" t="s">
        <v>64</v>
      </c>
      <c r="E615" s="3" t="s">
        <v>28</v>
      </c>
      <c r="F615" s="3" t="n">
        <v>18</v>
      </c>
      <c r="G615" s="36" t="n">
        <v>0.9</v>
      </c>
      <c r="H615" s="36" t="n">
        <f aca="false">F615*G615</f>
        <v>16.2</v>
      </c>
      <c r="I615" s="36" t="n">
        <f aca="false">INDEX(Inventory!$D$2:$D$17,MATCH(C615,Inventory!$A$2:$A$17,0))</f>
        <v>0.5</v>
      </c>
      <c r="J615" s="36" t="n">
        <f aca="false">F615*I615</f>
        <v>9</v>
      </c>
      <c r="K615" s="36" t="n">
        <f aca="false">H615-J615</f>
        <v>7.2</v>
      </c>
    </row>
    <row r="616" customFormat="false" ht="15" hidden="false" customHeight="false" outlineLevel="0" collapsed="false">
      <c r="A616" s="41" t="n">
        <v>46242</v>
      </c>
      <c r="B616" s="42" t="n">
        <f aca="false">DATE(YEAR(A616),MONTH(A616),1)</f>
        <v>46235</v>
      </c>
      <c r="C616" s="3" t="s">
        <v>49</v>
      </c>
      <c r="D616" s="3" t="s">
        <v>50</v>
      </c>
      <c r="E616" s="3" t="s">
        <v>28</v>
      </c>
      <c r="F616" s="3" t="n">
        <v>18</v>
      </c>
      <c r="G616" s="36" t="n">
        <v>1.2</v>
      </c>
      <c r="H616" s="36" t="n">
        <f aca="false">F616*G616</f>
        <v>21.6</v>
      </c>
      <c r="I616" s="36" t="n">
        <f aca="false">INDEX(Inventory!$D$2:$D$17,MATCH(C616,Inventory!$A$2:$A$17,0))</f>
        <v>0.7</v>
      </c>
      <c r="J616" s="36" t="n">
        <f aca="false">F616*I616</f>
        <v>12.6</v>
      </c>
      <c r="K616" s="36" t="n">
        <f aca="false">H616-J616</f>
        <v>9</v>
      </c>
    </row>
    <row r="617" customFormat="false" ht="15" hidden="false" customHeight="false" outlineLevel="0" collapsed="false">
      <c r="A617" s="41" t="n">
        <v>46242</v>
      </c>
      <c r="B617" s="42" t="n">
        <f aca="false">DATE(YEAR(A617),MONTH(A617),1)</f>
        <v>46235</v>
      </c>
      <c r="C617" s="3" t="s">
        <v>51</v>
      </c>
      <c r="D617" s="3" t="s">
        <v>52</v>
      </c>
      <c r="E617" s="3" t="s">
        <v>28</v>
      </c>
      <c r="F617" s="3" t="n">
        <v>30</v>
      </c>
      <c r="G617" s="36" t="n">
        <v>0.85</v>
      </c>
      <c r="H617" s="36" t="n">
        <f aca="false">F617*G617</f>
        <v>25.5</v>
      </c>
      <c r="I617" s="36" t="n">
        <f aca="false">INDEX(Inventory!$D$2:$D$17,MATCH(C617,Inventory!$A$2:$A$17,0))</f>
        <v>0.45</v>
      </c>
      <c r="J617" s="36" t="n">
        <f aca="false">F617*I617</f>
        <v>13.5</v>
      </c>
      <c r="K617" s="36" t="n">
        <f aca="false">H617-J617</f>
        <v>12</v>
      </c>
    </row>
    <row r="618" customFormat="false" ht="15" hidden="false" customHeight="false" outlineLevel="0" collapsed="false">
      <c r="A618" s="41" t="n">
        <v>46242</v>
      </c>
      <c r="B618" s="42" t="n">
        <f aca="false">DATE(YEAR(A618),MONTH(A618),1)</f>
        <v>46235</v>
      </c>
      <c r="C618" s="3" t="s">
        <v>37</v>
      </c>
      <c r="D618" s="3" t="s">
        <v>38</v>
      </c>
      <c r="E618" s="3" t="s">
        <v>26</v>
      </c>
      <c r="F618" s="3" t="n">
        <v>34</v>
      </c>
      <c r="G618" s="36" t="n">
        <v>1.2</v>
      </c>
      <c r="H618" s="36" t="n">
        <f aca="false">F618*G618</f>
        <v>40.8</v>
      </c>
      <c r="I618" s="36" t="n">
        <f aca="false">INDEX(Inventory!$D$2:$D$17,MATCH(C618,Inventory!$A$2:$A$17,0))</f>
        <v>0.85</v>
      </c>
      <c r="J618" s="36" t="n">
        <f aca="false">F618*I618</f>
        <v>28.9</v>
      </c>
      <c r="K618" s="36" t="n">
        <f aca="false">H618-J618</f>
        <v>11.9</v>
      </c>
    </row>
    <row r="619" customFormat="false" ht="15" hidden="false" customHeight="false" outlineLevel="0" collapsed="false">
      <c r="A619" s="41" t="n">
        <v>46242</v>
      </c>
      <c r="B619" s="42" t="n">
        <f aca="false">DATE(YEAR(A619),MONTH(A619),1)</f>
        <v>46235</v>
      </c>
      <c r="C619" s="3" t="s">
        <v>47</v>
      </c>
      <c r="D619" s="3" t="s">
        <v>48</v>
      </c>
      <c r="E619" s="3" t="s">
        <v>26</v>
      </c>
      <c r="F619" s="3" t="n">
        <v>12</v>
      </c>
      <c r="G619" s="36" t="n">
        <v>2.2</v>
      </c>
      <c r="H619" s="36" t="n">
        <f aca="false">F619*G619</f>
        <v>26.4</v>
      </c>
      <c r="I619" s="36" t="n">
        <f aca="false">INDEX(Inventory!$D$2:$D$17,MATCH(C619,Inventory!$A$2:$A$17,0))</f>
        <v>1.4</v>
      </c>
      <c r="J619" s="36" t="n">
        <f aca="false">F619*I619</f>
        <v>16.8</v>
      </c>
      <c r="K619" s="36" t="n">
        <f aca="false">H619-J619</f>
        <v>9.60000000000001</v>
      </c>
    </row>
    <row r="620" customFormat="false" ht="15" hidden="false" customHeight="false" outlineLevel="0" collapsed="false">
      <c r="A620" s="41" t="n">
        <v>46242</v>
      </c>
      <c r="B620" s="42" t="n">
        <f aca="false">DATE(YEAR(A620),MONTH(A620),1)</f>
        <v>46235</v>
      </c>
      <c r="C620" s="3" t="s">
        <v>43</v>
      </c>
      <c r="D620" s="3" t="s">
        <v>44</v>
      </c>
      <c r="E620" s="3" t="s">
        <v>26</v>
      </c>
      <c r="F620" s="3" t="n">
        <v>9</v>
      </c>
      <c r="G620" s="36" t="n">
        <v>3.8</v>
      </c>
      <c r="H620" s="36" t="n">
        <f aca="false">F620*G620</f>
        <v>34.2</v>
      </c>
      <c r="I620" s="36" t="n">
        <f aca="false">INDEX(Inventory!$D$2:$D$17,MATCH(C620,Inventory!$A$2:$A$17,0))</f>
        <v>2.6</v>
      </c>
      <c r="J620" s="36" t="n">
        <f aca="false">F620*I620</f>
        <v>23.4</v>
      </c>
      <c r="K620" s="36" t="n">
        <f aca="false">H620-J620</f>
        <v>10.8</v>
      </c>
    </row>
    <row r="621" customFormat="false" ht="15" hidden="false" customHeight="false" outlineLevel="0" collapsed="false">
      <c r="A621" s="41" t="n">
        <v>46242</v>
      </c>
      <c r="B621" s="42" t="n">
        <f aca="false">DATE(YEAR(A621),MONTH(A621),1)</f>
        <v>46235</v>
      </c>
      <c r="C621" s="3" t="s">
        <v>67</v>
      </c>
      <c r="D621" s="3" t="s">
        <v>68</v>
      </c>
      <c r="E621" s="3" t="s">
        <v>26</v>
      </c>
      <c r="F621" s="3" t="n">
        <v>7</v>
      </c>
      <c r="G621" s="36" t="n">
        <v>1.9</v>
      </c>
      <c r="H621" s="36" t="n">
        <f aca="false">F621*G621</f>
        <v>13.3</v>
      </c>
      <c r="I621" s="36" t="n">
        <f aca="false">INDEX(Inventory!$D$2:$D$17,MATCH(C621,Inventory!$A$2:$A$17,0))</f>
        <v>1.3</v>
      </c>
      <c r="J621" s="36" t="n">
        <f aca="false">F621*I621</f>
        <v>9.1</v>
      </c>
      <c r="K621" s="36" t="n">
        <f aca="false">H621-J621</f>
        <v>4.2</v>
      </c>
    </row>
    <row r="622" customFormat="false" ht="15" hidden="false" customHeight="false" outlineLevel="0" collapsed="false">
      <c r="A622" s="41" t="n">
        <v>46242</v>
      </c>
      <c r="B622" s="42" t="n">
        <f aca="false">DATE(YEAR(A622),MONTH(A622),1)</f>
        <v>46235</v>
      </c>
      <c r="C622" s="3" t="s">
        <v>61</v>
      </c>
      <c r="D622" s="3" t="s">
        <v>62</v>
      </c>
      <c r="E622" s="3" t="s">
        <v>29</v>
      </c>
      <c r="F622" s="3" t="n">
        <v>13</v>
      </c>
      <c r="G622" s="36" t="n">
        <v>1.9</v>
      </c>
      <c r="H622" s="36" t="n">
        <f aca="false">F622*G622</f>
        <v>24.7</v>
      </c>
      <c r="I622" s="36" t="n">
        <f aca="false">INDEX(Inventory!$D$2:$D$17,MATCH(C622,Inventory!$A$2:$A$17,0))</f>
        <v>1.1</v>
      </c>
      <c r="J622" s="36" t="n">
        <f aca="false">F622*I622</f>
        <v>14.3</v>
      </c>
      <c r="K622" s="36" t="n">
        <f aca="false">H622-J622</f>
        <v>10.4</v>
      </c>
    </row>
    <row r="623" customFormat="false" ht="15" hidden="false" customHeight="false" outlineLevel="0" collapsed="false">
      <c r="A623" s="41" t="n">
        <v>46242</v>
      </c>
      <c r="B623" s="42" t="n">
        <f aca="false">DATE(YEAR(A623),MONTH(A623),1)</f>
        <v>46235</v>
      </c>
      <c r="C623" s="3" t="s">
        <v>45</v>
      </c>
      <c r="D623" s="3" t="s">
        <v>46</v>
      </c>
      <c r="E623" s="3" t="s">
        <v>29</v>
      </c>
      <c r="F623" s="3" t="n">
        <v>8</v>
      </c>
      <c r="G623" s="36" t="n">
        <v>5.2</v>
      </c>
      <c r="H623" s="36" t="n">
        <f aca="false">F623*G623</f>
        <v>41.6</v>
      </c>
      <c r="I623" s="36" t="n">
        <f aca="false">INDEX(Inventory!$D$2:$D$17,MATCH(C623,Inventory!$A$2:$A$17,0))</f>
        <v>3.5</v>
      </c>
      <c r="J623" s="36" t="n">
        <f aca="false">F623*I623</f>
        <v>28</v>
      </c>
      <c r="K623" s="36" t="n">
        <f aca="false">H623-J623</f>
        <v>13.6</v>
      </c>
    </row>
    <row r="624" customFormat="false" ht="15" hidden="false" customHeight="false" outlineLevel="0" collapsed="false">
      <c r="A624" s="41" t="n">
        <v>46242</v>
      </c>
      <c r="B624" s="42" t="n">
        <f aca="false">DATE(YEAR(A624),MONTH(A624),1)</f>
        <v>46235</v>
      </c>
      <c r="C624" s="3" t="s">
        <v>65</v>
      </c>
      <c r="D624" s="3" t="s">
        <v>66</v>
      </c>
      <c r="E624" s="3" t="s">
        <v>29</v>
      </c>
      <c r="F624" s="3" t="n">
        <v>12</v>
      </c>
      <c r="G624" s="36" t="n">
        <v>1.5</v>
      </c>
      <c r="H624" s="36" t="n">
        <f aca="false">F624*G624</f>
        <v>18</v>
      </c>
      <c r="I624" s="36" t="n">
        <f aca="false">INDEX(Inventory!$D$2:$D$17,MATCH(C624,Inventory!$A$2:$A$17,0))</f>
        <v>0.9</v>
      </c>
      <c r="J624" s="36" t="n">
        <f aca="false">F624*I624</f>
        <v>10.8</v>
      </c>
      <c r="K624" s="36" t="n">
        <f aca="false">H624-J624</f>
        <v>7.2</v>
      </c>
    </row>
    <row r="625" customFormat="false" ht="15" hidden="false" customHeight="false" outlineLevel="0" collapsed="false">
      <c r="A625" s="41" t="n">
        <v>46242</v>
      </c>
      <c r="B625" s="42" t="n">
        <f aca="false">DATE(YEAR(A625),MONTH(A625),1)</f>
        <v>46235</v>
      </c>
      <c r="C625" s="3" t="s">
        <v>55</v>
      </c>
      <c r="D625" s="3" t="s">
        <v>56</v>
      </c>
      <c r="E625" s="3" t="s">
        <v>29</v>
      </c>
      <c r="F625" s="3" t="n">
        <v>11</v>
      </c>
      <c r="G625" s="36" t="n">
        <v>2.5</v>
      </c>
      <c r="H625" s="36" t="n">
        <f aca="false">F625*G625</f>
        <v>27.5</v>
      </c>
      <c r="I625" s="36" t="n">
        <f aca="false">INDEX(Inventory!$D$2:$D$17,MATCH(C625,Inventory!$A$2:$A$17,0))</f>
        <v>1.6</v>
      </c>
      <c r="J625" s="36" t="n">
        <f aca="false">F625*I625</f>
        <v>17.6</v>
      </c>
      <c r="K625" s="36" t="n">
        <f aca="false">H625-J625</f>
        <v>9.9</v>
      </c>
    </row>
    <row r="626" customFormat="false" ht="15" hidden="false" customHeight="false" outlineLevel="0" collapsed="false">
      <c r="A626" s="41" t="n">
        <v>46243</v>
      </c>
      <c r="B626" s="42" t="n">
        <f aca="false">DATE(YEAR(A626),MONTH(A626),1)</f>
        <v>46235</v>
      </c>
      <c r="C626" s="3" t="s">
        <v>39</v>
      </c>
      <c r="D626" s="3" t="s">
        <v>40</v>
      </c>
      <c r="E626" s="3" t="s">
        <v>27</v>
      </c>
      <c r="F626" s="3" t="n">
        <v>24</v>
      </c>
      <c r="G626" s="36" t="n">
        <v>1</v>
      </c>
      <c r="H626" s="36" t="n">
        <f aca="false">F626*G626</f>
        <v>24</v>
      </c>
      <c r="I626" s="36" t="n">
        <f aca="false">INDEX(Inventory!$D$2:$D$17,MATCH(C626,Inventory!$A$2:$A$17,0))</f>
        <v>0.6</v>
      </c>
      <c r="J626" s="36" t="n">
        <f aca="false">F626*I626</f>
        <v>14.4</v>
      </c>
      <c r="K626" s="36" t="n">
        <f aca="false">H626-J626</f>
        <v>9.6</v>
      </c>
    </row>
    <row r="627" customFormat="false" ht="15" hidden="false" customHeight="false" outlineLevel="0" collapsed="false">
      <c r="A627" s="41" t="n">
        <v>46243</v>
      </c>
      <c r="B627" s="42" t="n">
        <f aca="false">DATE(YEAR(A627),MONTH(A627),1)</f>
        <v>46235</v>
      </c>
      <c r="C627" s="3" t="s">
        <v>53</v>
      </c>
      <c r="D627" s="3" t="s">
        <v>54</v>
      </c>
      <c r="E627" s="3" t="s">
        <v>27</v>
      </c>
      <c r="F627" s="3" t="n">
        <v>23</v>
      </c>
      <c r="G627" s="36" t="n">
        <v>0.95</v>
      </c>
      <c r="H627" s="36" t="n">
        <f aca="false">F627*G627</f>
        <v>21.85</v>
      </c>
      <c r="I627" s="36" t="n">
        <f aca="false">INDEX(Inventory!$D$2:$D$17,MATCH(C627,Inventory!$A$2:$A$17,0))</f>
        <v>0.55</v>
      </c>
      <c r="J627" s="36" t="n">
        <f aca="false">F627*I627</f>
        <v>12.65</v>
      </c>
      <c r="K627" s="36" t="n">
        <f aca="false">H627-J627</f>
        <v>9.2</v>
      </c>
    </row>
    <row r="628" customFormat="false" ht="15" hidden="false" customHeight="false" outlineLevel="0" collapsed="false">
      <c r="A628" s="41" t="n">
        <v>46243</v>
      </c>
      <c r="B628" s="42" t="n">
        <f aca="false">DATE(YEAR(A628),MONTH(A628),1)</f>
        <v>46235</v>
      </c>
      <c r="C628" s="3" t="s">
        <v>59</v>
      </c>
      <c r="D628" s="3" t="s">
        <v>60</v>
      </c>
      <c r="E628" s="3" t="s">
        <v>27</v>
      </c>
      <c r="F628" s="3" t="n">
        <v>43</v>
      </c>
      <c r="G628" s="36" t="n">
        <v>0.6</v>
      </c>
      <c r="H628" s="36" t="n">
        <f aca="false">F628*G628</f>
        <v>25.8</v>
      </c>
      <c r="I628" s="36" t="n">
        <f aca="false">INDEX(Inventory!$D$2:$D$17,MATCH(C628,Inventory!$A$2:$A$17,0))</f>
        <v>0.3</v>
      </c>
      <c r="J628" s="36" t="n">
        <f aca="false">F628*I628</f>
        <v>12.9</v>
      </c>
      <c r="K628" s="36" t="n">
        <f aca="false">H628-J628</f>
        <v>12.9</v>
      </c>
    </row>
    <row r="629" customFormat="false" ht="15" hidden="false" customHeight="false" outlineLevel="0" collapsed="false">
      <c r="A629" s="41" t="n">
        <v>46243</v>
      </c>
      <c r="B629" s="42" t="n">
        <f aca="false">DATE(YEAR(A629),MONTH(A629),1)</f>
        <v>46235</v>
      </c>
      <c r="C629" s="3" t="s">
        <v>57</v>
      </c>
      <c r="D629" s="3" t="s">
        <v>58</v>
      </c>
      <c r="E629" s="3" t="s">
        <v>27</v>
      </c>
      <c r="F629" s="3" t="n">
        <v>18</v>
      </c>
      <c r="G629" s="36" t="n">
        <v>1.5</v>
      </c>
      <c r="H629" s="36" t="n">
        <f aca="false">F629*G629</f>
        <v>27</v>
      </c>
      <c r="I629" s="36" t="n">
        <f aca="false">INDEX(Inventory!$D$2:$D$17,MATCH(C629,Inventory!$A$2:$A$17,0))</f>
        <v>0.9</v>
      </c>
      <c r="J629" s="36" t="n">
        <f aca="false">F629*I629</f>
        <v>16.2</v>
      </c>
      <c r="K629" s="36" t="n">
        <f aca="false">H629-J629</f>
        <v>10.8</v>
      </c>
    </row>
    <row r="630" customFormat="false" ht="15" hidden="false" customHeight="false" outlineLevel="0" collapsed="false">
      <c r="A630" s="41" t="n">
        <v>46243</v>
      </c>
      <c r="B630" s="42" t="n">
        <f aca="false">DATE(YEAR(A630),MONTH(A630),1)</f>
        <v>46235</v>
      </c>
      <c r="C630" s="3" t="s">
        <v>41</v>
      </c>
      <c r="D630" s="3" t="s">
        <v>42</v>
      </c>
      <c r="E630" s="3" t="s">
        <v>28</v>
      </c>
      <c r="F630" s="3" t="n">
        <v>19</v>
      </c>
      <c r="G630" s="36" t="n">
        <v>1.3</v>
      </c>
      <c r="H630" s="36" t="n">
        <f aca="false">F630*G630</f>
        <v>24.7</v>
      </c>
      <c r="I630" s="36" t="n">
        <f aca="false">INDEX(Inventory!$D$2:$D$17,MATCH(C630,Inventory!$A$2:$A$17,0))</f>
        <v>0.8</v>
      </c>
      <c r="J630" s="36" t="n">
        <f aca="false">F630*I630</f>
        <v>15.2</v>
      </c>
      <c r="K630" s="36" t="n">
        <f aca="false">H630-J630</f>
        <v>9.5</v>
      </c>
    </row>
    <row r="631" customFormat="false" ht="15" hidden="false" customHeight="false" outlineLevel="0" collapsed="false">
      <c r="A631" s="41" t="n">
        <v>46243</v>
      </c>
      <c r="B631" s="42" t="n">
        <f aca="false">DATE(YEAR(A631),MONTH(A631),1)</f>
        <v>46235</v>
      </c>
      <c r="C631" s="3" t="s">
        <v>63</v>
      </c>
      <c r="D631" s="3" t="s">
        <v>64</v>
      </c>
      <c r="E631" s="3" t="s">
        <v>28</v>
      </c>
      <c r="F631" s="3" t="n">
        <v>19</v>
      </c>
      <c r="G631" s="36" t="n">
        <v>0.9</v>
      </c>
      <c r="H631" s="36" t="n">
        <f aca="false">F631*G631</f>
        <v>17.1</v>
      </c>
      <c r="I631" s="36" t="n">
        <f aca="false">INDEX(Inventory!$D$2:$D$17,MATCH(C631,Inventory!$A$2:$A$17,0))</f>
        <v>0.5</v>
      </c>
      <c r="J631" s="36" t="n">
        <f aca="false">F631*I631</f>
        <v>9.5</v>
      </c>
      <c r="K631" s="36" t="n">
        <f aca="false">H631-J631</f>
        <v>7.6</v>
      </c>
    </row>
    <row r="632" customFormat="false" ht="15" hidden="false" customHeight="false" outlineLevel="0" collapsed="false">
      <c r="A632" s="41" t="n">
        <v>46243</v>
      </c>
      <c r="B632" s="42" t="n">
        <f aca="false">DATE(YEAR(A632),MONTH(A632),1)</f>
        <v>46235</v>
      </c>
      <c r="C632" s="3" t="s">
        <v>49</v>
      </c>
      <c r="D632" s="3" t="s">
        <v>50</v>
      </c>
      <c r="E632" s="3" t="s">
        <v>28</v>
      </c>
      <c r="F632" s="3" t="n">
        <v>26</v>
      </c>
      <c r="G632" s="36" t="n">
        <v>1.2</v>
      </c>
      <c r="H632" s="36" t="n">
        <f aca="false">F632*G632</f>
        <v>31.2</v>
      </c>
      <c r="I632" s="36" t="n">
        <f aca="false">INDEX(Inventory!$D$2:$D$17,MATCH(C632,Inventory!$A$2:$A$17,0))</f>
        <v>0.7</v>
      </c>
      <c r="J632" s="36" t="n">
        <f aca="false">F632*I632</f>
        <v>18.2</v>
      </c>
      <c r="K632" s="36" t="n">
        <f aca="false">H632-J632</f>
        <v>13</v>
      </c>
    </row>
    <row r="633" customFormat="false" ht="15" hidden="false" customHeight="false" outlineLevel="0" collapsed="false">
      <c r="A633" s="41" t="n">
        <v>46243</v>
      </c>
      <c r="B633" s="42" t="n">
        <f aca="false">DATE(YEAR(A633),MONTH(A633),1)</f>
        <v>46235</v>
      </c>
      <c r="C633" s="3" t="s">
        <v>51</v>
      </c>
      <c r="D633" s="3" t="s">
        <v>52</v>
      </c>
      <c r="E633" s="3" t="s">
        <v>28</v>
      </c>
      <c r="F633" s="3" t="n">
        <v>29</v>
      </c>
      <c r="G633" s="36" t="n">
        <v>0.85</v>
      </c>
      <c r="H633" s="36" t="n">
        <f aca="false">F633*G633</f>
        <v>24.65</v>
      </c>
      <c r="I633" s="36" t="n">
        <f aca="false">INDEX(Inventory!$D$2:$D$17,MATCH(C633,Inventory!$A$2:$A$17,0))</f>
        <v>0.45</v>
      </c>
      <c r="J633" s="36" t="n">
        <f aca="false">F633*I633</f>
        <v>13.05</v>
      </c>
      <c r="K633" s="36" t="n">
        <f aca="false">H633-J633</f>
        <v>11.6</v>
      </c>
    </row>
    <row r="634" customFormat="false" ht="15" hidden="false" customHeight="false" outlineLevel="0" collapsed="false">
      <c r="A634" s="41" t="n">
        <v>46243</v>
      </c>
      <c r="B634" s="42" t="n">
        <f aca="false">DATE(YEAR(A634),MONTH(A634),1)</f>
        <v>46235</v>
      </c>
      <c r="C634" s="3" t="s">
        <v>37</v>
      </c>
      <c r="D634" s="3" t="s">
        <v>38</v>
      </c>
      <c r="E634" s="3" t="s">
        <v>26</v>
      </c>
      <c r="F634" s="3" t="n">
        <v>32</v>
      </c>
      <c r="G634" s="36" t="n">
        <v>1.2</v>
      </c>
      <c r="H634" s="36" t="n">
        <f aca="false">F634*G634</f>
        <v>38.4</v>
      </c>
      <c r="I634" s="36" t="n">
        <f aca="false">INDEX(Inventory!$D$2:$D$17,MATCH(C634,Inventory!$A$2:$A$17,0))</f>
        <v>0.85</v>
      </c>
      <c r="J634" s="36" t="n">
        <f aca="false">F634*I634</f>
        <v>27.2</v>
      </c>
      <c r="K634" s="36" t="n">
        <f aca="false">H634-J634</f>
        <v>11.2</v>
      </c>
    </row>
    <row r="635" customFormat="false" ht="15" hidden="false" customHeight="false" outlineLevel="0" collapsed="false">
      <c r="A635" s="41" t="n">
        <v>46243</v>
      </c>
      <c r="B635" s="42" t="n">
        <f aca="false">DATE(YEAR(A635),MONTH(A635),1)</f>
        <v>46235</v>
      </c>
      <c r="C635" s="3" t="s">
        <v>47</v>
      </c>
      <c r="D635" s="3" t="s">
        <v>48</v>
      </c>
      <c r="E635" s="3" t="s">
        <v>26</v>
      </c>
      <c r="F635" s="3" t="n">
        <v>15</v>
      </c>
      <c r="G635" s="36" t="n">
        <v>2.2</v>
      </c>
      <c r="H635" s="36" t="n">
        <f aca="false">F635*G635</f>
        <v>33</v>
      </c>
      <c r="I635" s="36" t="n">
        <f aca="false">INDEX(Inventory!$D$2:$D$17,MATCH(C635,Inventory!$A$2:$A$17,0))</f>
        <v>1.4</v>
      </c>
      <c r="J635" s="36" t="n">
        <f aca="false">F635*I635</f>
        <v>21</v>
      </c>
      <c r="K635" s="36" t="n">
        <f aca="false">H635-J635</f>
        <v>12</v>
      </c>
    </row>
    <row r="636" customFormat="false" ht="15" hidden="false" customHeight="false" outlineLevel="0" collapsed="false">
      <c r="A636" s="41" t="n">
        <v>46243</v>
      </c>
      <c r="B636" s="42" t="n">
        <f aca="false">DATE(YEAR(A636),MONTH(A636),1)</f>
        <v>46235</v>
      </c>
      <c r="C636" s="3" t="s">
        <v>43</v>
      </c>
      <c r="D636" s="3" t="s">
        <v>44</v>
      </c>
      <c r="E636" s="3" t="s">
        <v>26</v>
      </c>
      <c r="F636" s="3" t="n">
        <v>10</v>
      </c>
      <c r="G636" s="36" t="n">
        <v>3.8</v>
      </c>
      <c r="H636" s="36" t="n">
        <f aca="false">F636*G636</f>
        <v>38</v>
      </c>
      <c r="I636" s="36" t="n">
        <f aca="false">INDEX(Inventory!$D$2:$D$17,MATCH(C636,Inventory!$A$2:$A$17,0))</f>
        <v>2.6</v>
      </c>
      <c r="J636" s="36" t="n">
        <f aca="false">F636*I636</f>
        <v>26</v>
      </c>
      <c r="K636" s="36" t="n">
        <f aca="false">H636-J636</f>
        <v>12</v>
      </c>
    </row>
    <row r="637" customFormat="false" ht="15" hidden="false" customHeight="false" outlineLevel="0" collapsed="false">
      <c r="A637" s="41" t="n">
        <v>46243</v>
      </c>
      <c r="B637" s="42" t="n">
        <f aca="false">DATE(YEAR(A637),MONTH(A637),1)</f>
        <v>46235</v>
      </c>
      <c r="C637" s="3" t="s">
        <v>67</v>
      </c>
      <c r="D637" s="3" t="s">
        <v>68</v>
      </c>
      <c r="E637" s="3" t="s">
        <v>26</v>
      </c>
      <c r="F637" s="3" t="n">
        <v>9</v>
      </c>
      <c r="G637" s="36" t="n">
        <v>1.9</v>
      </c>
      <c r="H637" s="36" t="n">
        <f aca="false">F637*G637</f>
        <v>17.1</v>
      </c>
      <c r="I637" s="36" t="n">
        <f aca="false">INDEX(Inventory!$D$2:$D$17,MATCH(C637,Inventory!$A$2:$A$17,0))</f>
        <v>1.3</v>
      </c>
      <c r="J637" s="36" t="n">
        <f aca="false">F637*I637</f>
        <v>11.7</v>
      </c>
      <c r="K637" s="36" t="n">
        <f aca="false">H637-J637</f>
        <v>5.4</v>
      </c>
    </row>
    <row r="638" customFormat="false" ht="15" hidden="false" customHeight="false" outlineLevel="0" collapsed="false">
      <c r="A638" s="41" t="n">
        <v>46243</v>
      </c>
      <c r="B638" s="42" t="n">
        <f aca="false">DATE(YEAR(A638),MONTH(A638),1)</f>
        <v>46235</v>
      </c>
      <c r="C638" s="3" t="s">
        <v>61</v>
      </c>
      <c r="D638" s="3" t="s">
        <v>62</v>
      </c>
      <c r="E638" s="3" t="s">
        <v>29</v>
      </c>
      <c r="F638" s="3" t="n">
        <v>12</v>
      </c>
      <c r="G638" s="36" t="n">
        <v>1.9</v>
      </c>
      <c r="H638" s="36" t="n">
        <f aca="false">F638*G638</f>
        <v>22.8</v>
      </c>
      <c r="I638" s="36" t="n">
        <f aca="false">INDEX(Inventory!$D$2:$D$17,MATCH(C638,Inventory!$A$2:$A$17,0))</f>
        <v>1.1</v>
      </c>
      <c r="J638" s="36" t="n">
        <f aca="false">F638*I638</f>
        <v>13.2</v>
      </c>
      <c r="K638" s="36" t="n">
        <f aca="false">H638-J638</f>
        <v>9.6</v>
      </c>
    </row>
    <row r="639" customFormat="false" ht="15" hidden="false" customHeight="false" outlineLevel="0" collapsed="false">
      <c r="A639" s="41" t="n">
        <v>46243</v>
      </c>
      <c r="B639" s="42" t="n">
        <f aca="false">DATE(YEAR(A639),MONTH(A639),1)</f>
        <v>46235</v>
      </c>
      <c r="C639" s="3" t="s">
        <v>45</v>
      </c>
      <c r="D639" s="3" t="s">
        <v>46</v>
      </c>
      <c r="E639" s="3" t="s">
        <v>29</v>
      </c>
      <c r="F639" s="3" t="n">
        <v>7</v>
      </c>
      <c r="G639" s="36" t="n">
        <v>5.2</v>
      </c>
      <c r="H639" s="36" t="n">
        <f aca="false">F639*G639</f>
        <v>36.4</v>
      </c>
      <c r="I639" s="36" t="n">
        <f aca="false">INDEX(Inventory!$D$2:$D$17,MATCH(C639,Inventory!$A$2:$A$17,0))</f>
        <v>3.5</v>
      </c>
      <c r="J639" s="36" t="n">
        <f aca="false">F639*I639</f>
        <v>24.5</v>
      </c>
      <c r="K639" s="36" t="n">
        <f aca="false">H639-J639</f>
        <v>11.9</v>
      </c>
    </row>
    <row r="640" customFormat="false" ht="15" hidden="false" customHeight="false" outlineLevel="0" collapsed="false">
      <c r="A640" s="41" t="n">
        <v>46243</v>
      </c>
      <c r="B640" s="42" t="n">
        <f aca="false">DATE(YEAR(A640),MONTH(A640),1)</f>
        <v>46235</v>
      </c>
      <c r="C640" s="3" t="s">
        <v>65</v>
      </c>
      <c r="D640" s="3" t="s">
        <v>66</v>
      </c>
      <c r="E640" s="3" t="s">
        <v>29</v>
      </c>
      <c r="F640" s="3" t="n">
        <v>9</v>
      </c>
      <c r="G640" s="36" t="n">
        <v>1.5</v>
      </c>
      <c r="H640" s="36" t="n">
        <f aca="false">F640*G640</f>
        <v>13.5</v>
      </c>
      <c r="I640" s="36" t="n">
        <f aca="false">INDEX(Inventory!$D$2:$D$17,MATCH(C640,Inventory!$A$2:$A$17,0))</f>
        <v>0.9</v>
      </c>
      <c r="J640" s="36" t="n">
        <f aca="false">F640*I640</f>
        <v>8.1</v>
      </c>
      <c r="K640" s="36" t="n">
        <f aca="false">H640-J640</f>
        <v>5.4</v>
      </c>
    </row>
    <row r="641" customFormat="false" ht="15" hidden="false" customHeight="false" outlineLevel="0" collapsed="false">
      <c r="A641" s="41" t="n">
        <v>46243</v>
      </c>
      <c r="B641" s="42" t="n">
        <f aca="false">DATE(YEAR(A641),MONTH(A641),1)</f>
        <v>46235</v>
      </c>
      <c r="C641" s="3" t="s">
        <v>55</v>
      </c>
      <c r="D641" s="3" t="s">
        <v>56</v>
      </c>
      <c r="E641" s="3" t="s">
        <v>29</v>
      </c>
      <c r="F641" s="3" t="n">
        <v>9</v>
      </c>
      <c r="G641" s="36" t="n">
        <v>2.5</v>
      </c>
      <c r="H641" s="36" t="n">
        <f aca="false">F641*G641</f>
        <v>22.5</v>
      </c>
      <c r="I641" s="36" t="n">
        <f aca="false">INDEX(Inventory!$D$2:$D$17,MATCH(C641,Inventory!$A$2:$A$17,0))</f>
        <v>1.6</v>
      </c>
      <c r="J641" s="36" t="n">
        <f aca="false">F641*I641</f>
        <v>14.4</v>
      </c>
      <c r="K641" s="36" t="n">
        <f aca="false">H641-J641</f>
        <v>8.1</v>
      </c>
    </row>
    <row r="642" customFormat="false" ht="15" hidden="false" customHeight="false" outlineLevel="0" collapsed="false">
      <c r="A642" s="41" t="n">
        <v>46244</v>
      </c>
      <c r="B642" s="42" t="n">
        <f aca="false">DATE(YEAR(A642),MONTH(A642),1)</f>
        <v>46235</v>
      </c>
      <c r="C642" s="3" t="s">
        <v>39</v>
      </c>
      <c r="D642" s="3" t="s">
        <v>40</v>
      </c>
      <c r="E642" s="3" t="s">
        <v>27</v>
      </c>
      <c r="F642" s="3" t="n">
        <v>35</v>
      </c>
      <c r="G642" s="36" t="n">
        <v>1</v>
      </c>
      <c r="H642" s="36" t="n">
        <f aca="false">F642*G642</f>
        <v>35</v>
      </c>
      <c r="I642" s="36" t="n">
        <f aca="false">INDEX(Inventory!$D$2:$D$17,MATCH(C642,Inventory!$A$2:$A$17,0))</f>
        <v>0.6</v>
      </c>
      <c r="J642" s="36" t="n">
        <f aca="false">F642*I642</f>
        <v>21</v>
      </c>
      <c r="K642" s="36" t="n">
        <f aca="false">H642-J642</f>
        <v>14</v>
      </c>
    </row>
    <row r="643" customFormat="false" ht="15" hidden="false" customHeight="false" outlineLevel="0" collapsed="false">
      <c r="A643" s="41" t="n">
        <v>46244</v>
      </c>
      <c r="B643" s="42" t="n">
        <f aca="false">DATE(YEAR(A643),MONTH(A643),1)</f>
        <v>46235</v>
      </c>
      <c r="C643" s="3" t="s">
        <v>53</v>
      </c>
      <c r="D643" s="3" t="s">
        <v>54</v>
      </c>
      <c r="E643" s="3" t="s">
        <v>27</v>
      </c>
      <c r="F643" s="3" t="n">
        <v>18</v>
      </c>
      <c r="G643" s="36" t="n">
        <v>0.95</v>
      </c>
      <c r="H643" s="36" t="n">
        <f aca="false">F643*G643</f>
        <v>17.1</v>
      </c>
      <c r="I643" s="36" t="n">
        <f aca="false">INDEX(Inventory!$D$2:$D$17,MATCH(C643,Inventory!$A$2:$A$17,0))</f>
        <v>0.55</v>
      </c>
      <c r="J643" s="36" t="n">
        <f aca="false">F643*I643</f>
        <v>9.9</v>
      </c>
      <c r="K643" s="36" t="n">
        <f aca="false">H643-J643</f>
        <v>7.2</v>
      </c>
    </row>
    <row r="644" customFormat="false" ht="15" hidden="false" customHeight="false" outlineLevel="0" collapsed="false">
      <c r="A644" s="41" t="n">
        <v>46244</v>
      </c>
      <c r="B644" s="42" t="n">
        <f aca="false">DATE(YEAR(A644),MONTH(A644),1)</f>
        <v>46235</v>
      </c>
      <c r="C644" s="3" t="s">
        <v>59</v>
      </c>
      <c r="D644" s="3" t="s">
        <v>60</v>
      </c>
      <c r="E644" s="3" t="s">
        <v>27</v>
      </c>
      <c r="F644" s="3" t="n">
        <v>30</v>
      </c>
      <c r="G644" s="36" t="n">
        <v>0.6</v>
      </c>
      <c r="H644" s="36" t="n">
        <f aca="false">F644*G644</f>
        <v>18</v>
      </c>
      <c r="I644" s="36" t="n">
        <f aca="false">INDEX(Inventory!$D$2:$D$17,MATCH(C644,Inventory!$A$2:$A$17,0))</f>
        <v>0.3</v>
      </c>
      <c r="J644" s="36" t="n">
        <f aca="false">F644*I644</f>
        <v>9</v>
      </c>
      <c r="K644" s="36" t="n">
        <f aca="false">H644-J644</f>
        <v>9</v>
      </c>
    </row>
    <row r="645" customFormat="false" ht="15" hidden="false" customHeight="false" outlineLevel="0" collapsed="false">
      <c r="A645" s="41" t="n">
        <v>46244</v>
      </c>
      <c r="B645" s="42" t="n">
        <f aca="false">DATE(YEAR(A645),MONTH(A645),1)</f>
        <v>46235</v>
      </c>
      <c r="C645" s="3" t="s">
        <v>57</v>
      </c>
      <c r="D645" s="3" t="s">
        <v>58</v>
      </c>
      <c r="E645" s="3" t="s">
        <v>27</v>
      </c>
      <c r="F645" s="3" t="n">
        <v>11</v>
      </c>
      <c r="G645" s="36" t="n">
        <v>1.5</v>
      </c>
      <c r="H645" s="36" t="n">
        <f aca="false">F645*G645</f>
        <v>16.5</v>
      </c>
      <c r="I645" s="36" t="n">
        <f aca="false">INDEX(Inventory!$D$2:$D$17,MATCH(C645,Inventory!$A$2:$A$17,0))</f>
        <v>0.9</v>
      </c>
      <c r="J645" s="36" t="n">
        <f aca="false">F645*I645</f>
        <v>9.9</v>
      </c>
      <c r="K645" s="36" t="n">
        <f aca="false">H645-J645</f>
        <v>6.6</v>
      </c>
    </row>
    <row r="646" customFormat="false" ht="15" hidden="false" customHeight="false" outlineLevel="0" collapsed="false">
      <c r="A646" s="41" t="n">
        <v>46244</v>
      </c>
      <c r="B646" s="42" t="n">
        <f aca="false">DATE(YEAR(A646),MONTH(A646),1)</f>
        <v>46235</v>
      </c>
      <c r="C646" s="3" t="s">
        <v>41</v>
      </c>
      <c r="D646" s="3" t="s">
        <v>42</v>
      </c>
      <c r="E646" s="3" t="s">
        <v>28</v>
      </c>
      <c r="F646" s="3" t="n">
        <v>25</v>
      </c>
      <c r="G646" s="36" t="n">
        <v>1.3</v>
      </c>
      <c r="H646" s="36" t="n">
        <f aca="false">F646*G646</f>
        <v>32.5</v>
      </c>
      <c r="I646" s="36" t="n">
        <f aca="false">INDEX(Inventory!$D$2:$D$17,MATCH(C646,Inventory!$A$2:$A$17,0))</f>
        <v>0.8</v>
      </c>
      <c r="J646" s="36" t="n">
        <f aca="false">F646*I646</f>
        <v>20</v>
      </c>
      <c r="K646" s="36" t="n">
        <f aca="false">H646-J646</f>
        <v>12.5</v>
      </c>
    </row>
    <row r="647" customFormat="false" ht="15" hidden="false" customHeight="false" outlineLevel="0" collapsed="false">
      <c r="A647" s="41" t="n">
        <v>46244</v>
      </c>
      <c r="B647" s="42" t="n">
        <f aca="false">DATE(YEAR(A647),MONTH(A647),1)</f>
        <v>46235</v>
      </c>
      <c r="C647" s="3" t="s">
        <v>63</v>
      </c>
      <c r="D647" s="3" t="s">
        <v>64</v>
      </c>
      <c r="E647" s="3" t="s">
        <v>28</v>
      </c>
      <c r="F647" s="3" t="n">
        <v>12</v>
      </c>
      <c r="G647" s="36" t="n">
        <v>0.9</v>
      </c>
      <c r="H647" s="36" t="n">
        <f aca="false">F647*G647</f>
        <v>10.8</v>
      </c>
      <c r="I647" s="36" t="n">
        <f aca="false">INDEX(Inventory!$D$2:$D$17,MATCH(C647,Inventory!$A$2:$A$17,0))</f>
        <v>0.5</v>
      </c>
      <c r="J647" s="36" t="n">
        <f aca="false">F647*I647</f>
        <v>6</v>
      </c>
      <c r="K647" s="36" t="n">
        <f aca="false">H647-J647</f>
        <v>4.8</v>
      </c>
    </row>
    <row r="648" customFormat="false" ht="15" hidden="false" customHeight="false" outlineLevel="0" collapsed="false">
      <c r="A648" s="41" t="n">
        <v>46244</v>
      </c>
      <c r="B648" s="42" t="n">
        <f aca="false">DATE(YEAR(A648),MONTH(A648),1)</f>
        <v>46235</v>
      </c>
      <c r="C648" s="3" t="s">
        <v>49</v>
      </c>
      <c r="D648" s="3" t="s">
        <v>50</v>
      </c>
      <c r="E648" s="3" t="s">
        <v>28</v>
      </c>
      <c r="F648" s="3" t="n">
        <v>20</v>
      </c>
      <c r="G648" s="36" t="n">
        <v>1.2</v>
      </c>
      <c r="H648" s="36" t="n">
        <f aca="false">F648*G648</f>
        <v>24</v>
      </c>
      <c r="I648" s="36" t="n">
        <f aca="false">INDEX(Inventory!$D$2:$D$17,MATCH(C648,Inventory!$A$2:$A$17,0))</f>
        <v>0.7</v>
      </c>
      <c r="J648" s="36" t="n">
        <f aca="false">F648*I648</f>
        <v>14</v>
      </c>
      <c r="K648" s="36" t="n">
        <f aca="false">H648-J648</f>
        <v>10</v>
      </c>
    </row>
    <row r="649" customFormat="false" ht="15" hidden="false" customHeight="false" outlineLevel="0" collapsed="false">
      <c r="A649" s="41" t="n">
        <v>46244</v>
      </c>
      <c r="B649" s="42" t="n">
        <f aca="false">DATE(YEAR(A649),MONTH(A649),1)</f>
        <v>46235</v>
      </c>
      <c r="C649" s="3" t="s">
        <v>51</v>
      </c>
      <c r="D649" s="3" t="s">
        <v>52</v>
      </c>
      <c r="E649" s="3" t="s">
        <v>28</v>
      </c>
      <c r="F649" s="3" t="n">
        <v>18</v>
      </c>
      <c r="G649" s="36" t="n">
        <v>0.85</v>
      </c>
      <c r="H649" s="36" t="n">
        <f aca="false">F649*G649</f>
        <v>15.3</v>
      </c>
      <c r="I649" s="36" t="n">
        <f aca="false">INDEX(Inventory!$D$2:$D$17,MATCH(C649,Inventory!$A$2:$A$17,0))</f>
        <v>0.45</v>
      </c>
      <c r="J649" s="36" t="n">
        <f aca="false">F649*I649</f>
        <v>8.1</v>
      </c>
      <c r="K649" s="36" t="n">
        <f aca="false">H649-J649</f>
        <v>7.2</v>
      </c>
    </row>
    <row r="650" customFormat="false" ht="15" hidden="false" customHeight="false" outlineLevel="0" collapsed="false">
      <c r="A650" s="41" t="n">
        <v>46244</v>
      </c>
      <c r="B650" s="42" t="n">
        <f aca="false">DATE(YEAR(A650),MONTH(A650),1)</f>
        <v>46235</v>
      </c>
      <c r="C650" s="3" t="s">
        <v>37</v>
      </c>
      <c r="D650" s="3" t="s">
        <v>38</v>
      </c>
      <c r="E650" s="3" t="s">
        <v>26</v>
      </c>
      <c r="F650" s="3" t="n">
        <v>19</v>
      </c>
      <c r="G650" s="36" t="n">
        <v>1.2</v>
      </c>
      <c r="H650" s="36" t="n">
        <f aca="false">F650*G650</f>
        <v>22.8</v>
      </c>
      <c r="I650" s="36" t="n">
        <f aca="false">INDEX(Inventory!$D$2:$D$17,MATCH(C650,Inventory!$A$2:$A$17,0))</f>
        <v>0.85</v>
      </c>
      <c r="J650" s="36" t="n">
        <f aca="false">F650*I650</f>
        <v>16.15</v>
      </c>
      <c r="K650" s="36" t="n">
        <f aca="false">H650-J650</f>
        <v>6.65</v>
      </c>
    </row>
    <row r="651" customFormat="false" ht="15" hidden="false" customHeight="false" outlineLevel="0" collapsed="false">
      <c r="A651" s="41" t="n">
        <v>46244</v>
      </c>
      <c r="B651" s="42" t="n">
        <f aca="false">DATE(YEAR(A651),MONTH(A651),1)</f>
        <v>46235</v>
      </c>
      <c r="C651" s="3" t="s">
        <v>47</v>
      </c>
      <c r="D651" s="3" t="s">
        <v>48</v>
      </c>
      <c r="E651" s="3" t="s">
        <v>26</v>
      </c>
      <c r="F651" s="3" t="n">
        <v>11</v>
      </c>
      <c r="G651" s="36" t="n">
        <v>2.2</v>
      </c>
      <c r="H651" s="36" t="n">
        <f aca="false">F651*G651</f>
        <v>24.2</v>
      </c>
      <c r="I651" s="36" t="n">
        <f aca="false">INDEX(Inventory!$D$2:$D$17,MATCH(C651,Inventory!$A$2:$A$17,0))</f>
        <v>1.4</v>
      </c>
      <c r="J651" s="36" t="n">
        <f aca="false">F651*I651</f>
        <v>15.4</v>
      </c>
      <c r="K651" s="36" t="n">
        <f aca="false">H651-J651</f>
        <v>8.8</v>
      </c>
    </row>
    <row r="652" customFormat="false" ht="15" hidden="false" customHeight="false" outlineLevel="0" collapsed="false">
      <c r="A652" s="41" t="n">
        <v>46244</v>
      </c>
      <c r="B652" s="42" t="n">
        <f aca="false">DATE(YEAR(A652),MONTH(A652),1)</f>
        <v>46235</v>
      </c>
      <c r="C652" s="3" t="s">
        <v>43</v>
      </c>
      <c r="D652" s="3" t="s">
        <v>44</v>
      </c>
      <c r="E652" s="3" t="s">
        <v>26</v>
      </c>
      <c r="F652" s="3" t="n">
        <v>8</v>
      </c>
      <c r="G652" s="36" t="n">
        <v>3.8</v>
      </c>
      <c r="H652" s="36" t="n">
        <f aca="false">F652*G652</f>
        <v>30.4</v>
      </c>
      <c r="I652" s="36" t="n">
        <f aca="false">INDEX(Inventory!$D$2:$D$17,MATCH(C652,Inventory!$A$2:$A$17,0))</f>
        <v>2.6</v>
      </c>
      <c r="J652" s="36" t="n">
        <f aca="false">F652*I652</f>
        <v>20.8</v>
      </c>
      <c r="K652" s="36" t="n">
        <f aca="false">H652-J652</f>
        <v>9.6</v>
      </c>
    </row>
    <row r="653" customFormat="false" ht="15" hidden="false" customHeight="false" outlineLevel="0" collapsed="false">
      <c r="A653" s="41" t="n">
        <v>46244</v>
      </c>
      <c r="B653" s="42" t="n">
        <f aca="false">DATE(YEAR(A653),MONTH(A653),1)</f>
        <v>46235</v>
      </c>
      <c r="C653" s="3" t="s">
        <v>67</v>
      </c>
      <c r="D653" s="3" t="s">
        <v>68</v>
      </c>
      <c r="E653" s="3" t="s">
        <v>26</v>
      </c>
      <c r="F653" s="3" t="n">
        <v>7</v>
      </c>
      <c r="G653" s="36" t="n">
        <v>1.9</v>
      </c>
      <c r="H653" s="36" t="n">
        <f aca="false">F653*G653</f>
        <v>13.3</v>
      </c>
      <c r="I653" s="36" t="n">
        <f aca="false">INDEX(Inventory!$D$2:$D$17,MATCH(C653,Inventory!$A$2:$A$17,0))</f>
        <v>1.3</v>
      </c>
      <c r="J653" s="36" t="n">
        <f aca="false">F653*I653</f>
        <v>9.1</v>
      </c>
      <c r="K653" s="36" t="n">
        <f aca="false">H653-J653</f>
        <v>4.2</v>
      </c>
    </row>
    <row r="654" customFormat="false" ht="15" hidden="false" customHeight="false" outlineLevel="0" collapsed="false">
      <c r="A654" s="41" t="n">
        <v>46244</v>
      </c>
      <c r="B654" s="42" t="n">
        <f aca="false">DATE(YEAR(A654),MONTH(A654),1)</f>
        <v>46235</v>
      </c>
      <c r="C654" s="3" t="s">
        <v>61</v>
      </c>
      <c r="D654" s="3" t="s">
        <v>62</v>
      </c>
      <c r="E654" s="3" t="s">
        <v>29</v>
      </c>
      <c r="F654" s="3" t="n">
        <v>12</v>
      </c>
      <c r="G654" s="36" t="n">
        <v>1.9</v>
      </c>
      <c r="H654" s="36" t="n">
        <f aca="false">F654*G654</f>
        <v>22.8</v>
      </c>
      <c r="I654" s="36" t="n">
        <f aca="false">INDEX(Inventory!$D$2:$D$17,MATCH(C654,Inventory!$A$2:$A$17,0))</f>
        <v>1.1</v>
      </c>
      <c r="J654" s="36" t="n">
        <f aca="false">F654*I654</f>
        <v>13.2</v>
      </c>
      <c r="K654" s="36" t="n">
        <f aca="false">H654-J654</f>
        <v>9.6</v>
      </c>
    </row>
    <row r="655" customFormat="false" ht="15" hidden="false" customHeight="false" outlineLevel="0" collapsed="false">
      <c r="A655" s="41" t="n">
        <v>46244</v>
      </c>
      <c r="B655" s="42" t="n">
        <f aca="false">DATE(YEAR(A655),MONTH(A655),1)</f>
        <v>46235</v>
      </c>
      <c r="C655" s="3" t="s">
        <v>45</v>
      </c>
      <c r="D655" s="3" t="s">
        <v>46</v>
      </c>
      <c r="E655" s="3" t="s">
        <v>29</v>
      </c>
      <c r="F655" s="3" t="n">
        <v>5</v>
      </c>
      <c r="G655" s="36" t="n">
        <v>5.2</v>
      </c>
      <c r="H655" s="36" t="n">
        <f aca="false">F655*G655</f>
        <v>26</v>
      </c>
      <c r="I655" s="36" t="n">
        <f aca="false">INDEX(Inventory!$D$2:$D$17,MATCH(C655,Inventory!$A$2:$A$17,0))</f>
        <v>3.5</v>
      </c>
      <c r="J655" s="36" t="n">
        <f aca="false">F655*I655</f>
        <v>17.5</v>
      </c>
      <c r="K655" s="36" t="n">
        <f aca="false">H655-J655</f>
        <v>8.5</v>
      </c>
    </row>
    <row r="656" customFormat="false" ht="15" hidden="false" customHeight="false" outlineLevel="0" collapsed="false">
      <c r="A656" s="41" t="n">
        <v>46244</v>
      </c>
      <c r="B656" s="42" t="n">
        <f aca="false">DATE(YEAR(A656),MONTH(A656),1)</f>
        <v>46235</v>
      </c>
      <c r="C656" s="3" t="s">
        <v>65</v>
      </c>
      <c r="D656" s="3" t="s">
        <v>66</v>
      </c>
      <c r="E656" s="3" t="s">
        <v>29</v>
      </c>
      <c r="F656" s="3" t="n">
        <v>9</v>
      </c>
      <c r="G656" s="36" t="n">
        <v>1.5</v>
      </c>
      <c r="H656" s="36" t="n">
        <f aca="false">F656*G656</f>
        <v>13.5</v>
      </c>
      <c r="I656" s="36" t="n">
        <f aca="false">INDEX(Inventory!$D$2:$D$17,MATCH(C656,Inventory!$A$2:$A$17,0))</f>
        <v>0.9</v>
      </c>
      <c r="J656" s="36" t="n">
        <f aca="false">F656*I656</f>
        <v>8.1</v>
      </c>
      <c r="K656" s="36" t="n">
        <f aca="false">H656-J656</f>
        <v>5.4</v>
      </c>
    </row>
    <row r="657" customFormat="false" ht="15" hidden="false" customHeight="false" outlineLevel="0" collapsed="false">
      <c r="A657" s="41" t="n">
        <v>46244</v>
      </c>
      <c r="B657" s="42" t="n">
        <f aca="false">DATE(YEAR(A657),MONTH(A657),1)</f>
        <v>46235</v>
      </c>
      <c r="C657" s="3" t="s">
        <v>55</v>
      </c>
      <c r="D657" s="3" t="s">
        <v>56</v>
      </c>
      <c r="E657" s="3" t="s">
        <v>29</v>
      </c>
      <c r="F657" s="3" t="n">
        <v>6</v>
      </c>
      <c r="G657" s="36" t="n">
        <v>2.5</v>
      </c>
      <c r="H657" s="36" t="n">
        <f aca="false">F657*G657</f>
        <v>15</v>
      </c>
      <c r="I657" s="36" t="n">
        <f aca="false">INDEX(Inventory!$D$2:$D$17,MATCH(C657,Inventory!$A$2:$A$17,0))</f>
        <v>1.6</v>
      </c>
      <c r="J657" s="36" t="n">
        <f aca="false">F657*I657</f>
        <v>9.6</v>
      </c>
      <c r="K657" s="36" t="n">
        <f aca="false">H657-J657</f>
        <v>5.4</v>
      </c>
    </row>
    <row r="658" customFormat="false" ht="15" hidden="false" customHeight="false" outlineLevel="0" collapsed="false">
      <c r="A658" s="41" t="n">
        <v>46245</v>
      </c>
      <c r="B658" s="42" t="n">
        <f aca="false">DATE(YEAR(A658),MONTH(A658),1)</f>
        <v>46235</v>
      </c>
      <c r="C658" s="3" t="s">
        <v>39</v>
      </c>
      <c r="D658" s="3" t="s">
        <v>40</v>
      </c>
      <c r="E658" s="3" t="s">
        <v>27</v>
      </c>
      <c r="F658" s="3" t="n">
        <v>35</v>
      </c>
      <c r="G658" s="36" t="n">
        <v>1</v>
      </c>
      <c r="H658" s="36" t="n">
        <f aca="false">F658*G658</f>
        <v>35</v>
      </c>
      <c r="I658" s="36" t="n">
        <f aca="false">INDEX(Inventory!$D$2:$D$17,MATCH(C658,Inventory!$A$2:$A$17,0))</f>
        <v>0.6</v>
      </c>
      <c r="J658" s="36" t="n">
        <f aca="false">F658*I658</f>
        <v>21</v>
      </c>
      <c r="K658" s="36" t="n">
        <f aca="false">H658-J658</f>
        <v>14</v>
      </c>
    </row>
    <row r="659" customFormat="false" ht="15" hidden="false" customHeight="false" outlineLevel="0" collapsed="false">
      <c r="A659" s="41" t="n">
        <v>46245</v>
      </c>
      <c r="B659" s="42" t="n">
        <f aca="false">DATE(YEAR(A659),MONTH(A659),1)</f>
        <v>46235</v>
      </c>
      <c r="C659" s="3" t="s">
        <v>53</v>
      </c>
      <c r="D659" s="3" t="s">
        <v>54</v>
      </c>
      <c r="E659" s="3" t="s">
        <v>27</v>
      </c>
      <c r="F659" s="3" t="n">
        <v>22</v>
      </c>
      <c r="G659" s="36" t="n">
        <v>0.95</v>
      </c>
      <c r="H659" s="36" t="n">
        <f aca="false">F659*G659</f>
        <v>20.9</v>
      </c>
      <c r="I659" s="36" t="n">
        <f aca="false">INDEX(Inventory!$D$2:$D$17,MATCH(C659,Inventory!$A$2:$A$17,0))</f>
        <v>0.55</v>
      </c>
      <c r="J659" s="36" t="n">
        <f aca="false">F659*I659</f>
        <v>12.1</v>
      </c>
      <c r="K659" s="36" t="n">
        <f aca="false">H659-J659</f>
        <v>8.8</v>
      </c>
    </row>
    <row r="660" customFormat="false" ht="15" hidden="false" customHeight="false" outlineLevel="0" collapsed="false">
      <c r="A660" s="41" t="n">
        <v>46245</v>
      </c>
      <c r="B660" s="42" t="n">
        <f aca="false">DATE(YEAR(A660),MONTH(A660),1)</f>
        <v>46235</v>
      </c>
      <c r="C660" s="3" t="s">
        <v>59</v>
      </c>
      <c r="D660" s="3" t="s">
        <v>60</v>
      </c>
      <c r="E660" s="3" t="s">
        <v>27</v>
      </c>
      <c r="F660" s="3" t="n">
        <v>35</v>
      </c>
      <c r="G660" s="36" t="n">
        <v>0.6</v>
      </c>
      <c r="H660" s="36" t="n">
        <f aca="false">F660*G660</f>
        <v>21</v>
      </c>
      <c r="I660" s="36" t="n">
        <f aca="false">INDEX(Inventory!$D$2:$D$17,MATCH(C660,Inventory!$A$2:$A$17,0))</f>
        <v>0.3</v>
      </c>
      <c r="J660" s="36" t="n">
        <f aca="false">F660*I660</f>
        <v>10.5</v>
      </c>
      <c r="K660" s="36" t="n">
        <f aca="false">H660-J660</f>
        <v>10.5</v>
      </c>
    </row>
    <row r="661" customFormat="false" ht="15" hidden="false" customHeight="false" outlineLevel="0" collapsed="false">
      <c r="A661" s="41" t="n">
        <v>46245</v>
      </c>
      <c r="B661" s="42" t="n">
        <f aca="false">DATE(YEAR(A661),MONTH(A661),1)</f>
        <v>46235</v>
      </c>
      <c r="C661" s="3" t="s">
        <v>57</v>
      </c>
      <c r="D661" s="3" t="s">
        <v>58</v>
      </c>
      <c r="E661" s="3" t="s">
        <v>27</v>
      </c>
      <c r="F661" s="3" t="n">
        <v>13</v>
      </c>
      <c r="G661" s="36" t="n">
        <v>1.5</v>
      </c>
      <c r="H661" s="36" t="n">
        <f aca="false">F661*G661</f>
        <v>19.5</v>
      </c>
      <c r="I661" s="36" t="n">
        <f aca="false">INDEX(Inventory!$D$2:$D$17,MATCH(C661,Inventory!$A$2:$A$17,0))</f>
        <v>0.9</v>
      </c>
      <c r="J661" s="36" t="n">
        <f aca="false">F661*I661</f>
        <v>11.7</v>
      </c>
      <c r="K661" s="36" t="n">
        <f aca="false">H661-J661</f>
        <v>7.8</v>
      </c>
    </row>
    <row r="662" customFormat="false" ht="15" hidden="false" customHeight="false" outlineLevel="0" collapsed="false">
      <c r="A662" s="41" t="n">
        <v>46245</v>
      </c>
      <c r="B662" s="42" t="n">
        <f aca="false">DATE(YEAR(A662),MONTH(A662),1)</f>
        <v>46235</v>
      </c>
      <c r="C662" s="3" t="s">
        <v>41</v>
      </c>
      <c r="D662" s="3" t="s">
        <v>42</v>
      </c>
      <c r="E662" s="3" t="s">
        <v>28</v>
      </c>
      <c r="F662" s="3" t="n">
        <v>17</v>
      </c>
      <c r="G662" s="36" t="n">
        <v>1.3</v>
      </c>
      <c r="H662" s="36" t="n">
        <f aca="false">F662*G662</f>
        <v>22.1</v>
      </c>
      <c r="I662" s="36" t="n">
        <f aca="false">INDEX(Inventory!$D$2:$D$17,MATCH(C662,Inventory!$A$2:$A$17,0))</f>
        <v>0.8</v>
      </c>
      <c r="J662" s="36" t="n">
        <f aca="false">F662*I662</f>
        <v>13.6</v>
      </c>
      <c r="K662" s="36" t="n">
        <f aca="false">H662-J662</f>
        <v>8.5</v>
      </c>
    </row>
    <row r="663" customFormat="false" ht="15" hidden="false" customHeight="false" outlineLevel="0" collapsed="false">
      <c r="A663" s="41" t="n">
        <v>46245</v>
      </c>
      <c r="B663" s="42" t="n">
        <f aca="false">DATE(YEAR(A663),MONTH(A663),1)</f>
        <v>46235</v>
      </c>
      <c r="C663" s="3" t="s">
        <v>63</v>
      </c>
      <c r="D663" s="3" t="s">
        <v>64</v>
      </c>
      <c r="E663" s="3" t="s">
        <v>28</v>
      </c>
      <c r="F663" s="3" t="n">
        <v>13</v>
      </c>
      <c r="G663" s="36" t="n">
        <v>0.9</v>
      </c>
      <c r="H663" s="36" t="n">
        <f aca="false">F663*G663</f>
        <v>11.7</v>
      </c>
      <c r="I663" s="36" t="n">
        <f aca="false">INDEX(Inventory!$D$2:$D$17,MATCH(C663,Inventory!$A$2:$A$17,0))</f>
        <v>0.5</v>
      </c>
      <c r="J663" s="36" t="n">
        <f aca="false">F663*I663</f>
        <v>6.5</v>
      </c>
      <c r="K663" s="36" t="n">
        <f aca="false">H663-J663</f>
        <v>5.2</v>
      </c>
    </row>
    <row r="664" customFormat="false" ht="15" hidden="false" customHeight="false" outlineLevel="0" collapsed="false">
      <c r="A664" s="41" t="n">
        <v>46245</v>
      </c>
      <c r="B664" s="42" t="n">
        <f aca="false">DATE(YEAR(A664),MONTH(A664),1)</f>
        <v>46235</v>
      </c>
      <c r="C664" s="3" t="s">
        <v>49</v>
      </c>
      <c r="D664" s="3" t="s">
        <v>50</v>
      </c>
      <c r="E664" s="3" t="s">
        <v>28</v>
      </c>
      <c r="F664" s="3" t="n">
        <v>19</v>
      </c>
      <c r="G664" s="36" t="n">
        <v>1.2</v>
      </c>
      <c r="H664" s="36" t="n">
        <f aca="false">F664*G664</f>
        <v>22.8</v>
      </c>
      <c r="I664" s="36" t="n">
        <f aca="false">INDEX(Inventory!$D$2:$D$17,MATCH(C664,Inventory!$A$2:$A$17,0))</f>
        <v>0.7</v>
      </c>
      <c r="J664" s="36" t="n">
        <f aca="false">F664*I664</f>
        <v>13.3</v>
      </c>
      <c r="K664" s="36" t="n">
        <f aca="false">H664-J664</f>
        <v>9.5</v>
      </c>
    </row>
    <row r="665" customFormat="false" ht="15" hidden="false" customHeight="false" outlineLevel="0" collapsed="false">
      <c r="A665" s="41" t="n">
        <v>46245</v>
      </c>
      <c r="B665" s="42" t="n">
        <f aca="false">DATE(YEAR(A665),MONTH(A665),1)</f>
        <v>46235</v>
      </c>
      <c r="C665" s="3" t="s">
        <v>51</v>
      </c>
      <c r="D665" s="3" t="s">
        <v>52</v>
      </c>
      <c r="E665" s="3" t="s">
        <v>28</v>
      </c>
      <c r="F665" s="3" t="n">
        <v>23</v>
      </c>
      <c r="G665" s="36" t="n">
        <v>0.85</v>
      </c>
      <c r="H665" s="36" t="n">
        <f aca="false">F665*G665</f>
        <v>19.55</v>
      </c>
      <c r="I665" s="36" t="n">
        <f aca="false">INDEX(Inventory!$D$2:$D$17,MATCH(C665,Inventory!$A$2:$A$17,0))</f>
        <v>0.45</v>
      </c>
      <c r="J665" s="36" t="n">
        <f aca="false">F665*I665</f>
        <v>10.35</v>
      </c>
      <c r="K665" s="36" t="n">
        <f aca="false">H665-J665</f>
        <v>9.2</v>
      </c>
    </row>
    <row r="666" customFormat="false" ht="15" hidden="false" customHeight="false" outlineLevel="0" collapsed="false">
      <c r="A666" s="41" t="n">
        <v>46245</v>
      </c>
      <c r="B666" s="42" t="n">
        <f aca="false">DATE(YEAR(A666),MONTH(A666),1)</f>
        <v>46235</v>
      </c>
      <c r="C666" s="3" t="s">
        <v>37</v>
      </c>
      <c r="D666" s="3" t="s">
        <v>38</v>
      </c>
      <c r="E666" s="3" t="s">
        <v>26</v>
      </c>
      <c r="F666" s="3" t="n">
        <v>26</v>
      </c>
      <c r="G666" s="36" t="n">
        <v>1.2</v>
      </c>
      <c r="H666" s="36" t="n">
        <f aca="false">F666*G666</f>
        <v>31.2</v>
      </c>
      <c r="I666" s="36" t="n">
        <f aca="false">INDEX(Inventory!$D$2:$D$17,MATCH(C666,Inventory!$A$2:$A$17,0))</f>
        <v>0.85</v>
      </c>
      <c r="J666" s="36" t="n">
        <f aca="false">F666*I666</f>
        <v>22.1</v>
      </c>
      <c r="K666" s="36" t="n">
        <f aca="false">H666-J666</f>
        <v>9.1</v>
      </c>
    </row>
    <row r="667" customFormat="false" ht="15" hidden="false" customHeight="false" outlineLevel="0" collapsed="false">
      <c r="A667" s="41" t="n">
        <v>46245</v>
      </c>
      <c r="B667" s="42" t="n">
        <f aca="false">DATE(YEAR(A667),MONTH(A667),1)</f>
        <v>46235</v>
      </c>
      <c r="C667" s="3" t="s">
        <v>47</v>
      </c>
      <c r="D667" s="3" t="s">
        <v>48</v>
      </c>
      <c r="E667" s="3" t="s">
        <v>26</v>
      </c>
      <c r="F667" s="3" t="n">
        <v>7</v>
      </c>
      <c r="G667" s="36" t="n">
        <v>2.2</v>
      </c>
      <c r="H667" s="36" t="n">
        <f aca="false">F667*G667</f>
        <v>15.4</v>
      </c>
      <c r="I667" s="36" t="n">
        <f aca="false">INDEX(Inventory!$D$2:$D$17,MATCH(C667,Inventory!$A$2:$A$17,0))</f>
        <v>1.4</v>
      </c>
      <c r="J667" s="36" t="n">
        <f aca="false">F667*I667</f>
        <v>9.8</v>
      </c>
      <c r="K667" s="36" t="n">
        <f aca="false">H667-J667</f>
        <v>5.6</v>
      </c>
    </row>
    <row r="668" customFormat="false" ht="15" hidden="false" customHeight="false" outlineLevel="0" collapsed="false">
      <c r="A668" s="41" t="n">
        <v>46245</v>
      </c>
      <c r="B668" s="42" t="n">
        <f aca="false">DATE(YEAR(A668),MONTH(A668),1)</f>
        <v>46235</v>
      </c>
      <c r="C668" s="3" t="s">
        <v>43</v>
      </c>
      <c r="D668" s="3" t="s">
        <v>44</v>
      </c>
      <c r="E668" s="3" t="s">
        <v>26</v>
      </c>
      <c r="F668" s="3" t="n">
        <v>8</v>
      </c>
      <c r="G668" s="36" t="n">
        <v>3.8</v>
      </c>
      <c r="H668" s="36" t="n">
        <f aca="false">F668*G668</f>
        <v>30.4</v>
      </c>
      <c r="I668" s="36" t="n">
        <f aca="false">INDEX(Inventory!$D$2:$D$17,MATCH(C668,Inventory!$A$2:$A$17,0))</f>
        <v>2.6</v>
      </c>
      <c r="J668" s="36" t="n">
        <f aca="false">F668*I668</f>
        <v>20.8</v>
      </c>
      <c r="K668" s="36" t="n">
        <f aca="false">H668-J668</f>
        <v>9.6</v>
      </c>
    </row>
    <row r="669" customFormat="false" ht="15" hidden="false" customHeight="false" outlineLevel="0" collapsed="false">
      <c r="A669" s="41" t="n">
        <v>46245</v>
      </c>
      <c r="B669" s="42" t="n">
        <f aca="false">DATE(YEAR(A669),MONTH(A669),1)</f>
        <v>46235</v>
      </c>
      <c r="C669" s="3" t="s">
        <v>67</v>
      </c>
      <c r="D669" s="3" t="s">
        <v>68</v>
      </c>
      <c r="E669" s="3" t="s">
        <v>26</v>
      </c>
      <c r="F669" s="3" t="n">
        <v>5</v>
      </c>
      <c r="G669" s="36" t="n">
        <v>1.9</v>
      </c>
      <c r="H669" s="36" t="n">
        <f aca="false">F669*G669</f>
        <v>9.5</v>
      </c>
      <c r="I669" s="36" t="n">
        <f aca="false">INDEX(Inventory!$D$2:$D$17,MATCH(C669,Inventory!$A$2:$A$17,0))</f>
        <v>1.3</v>
      </c>
      <c r="J669" s="36" t="n">
        <f aca="false">F669*I669</f>
        <v>6.5</v>
      </c>
      <c r="K669" s="36" t="n">
        <f aca="false">H669-J669</f>
        <v>3</v>
      </c>
    </row>
    <row r="670" customFormat="false" ht="15" hidden="false" customHeight="false" outlineLevel="0" collapsed="false">
      <c r="A670" s="41" t="n">
        <v>46245</v>
      </c>
      <c r="B670" s="42" t="n">
        <f aca="false">DATE(YEAR(A670),MONTH(A670),1)</f>
        <v>46235</v>
      </c>
      <c r="C670" s="3" t="s">
        <v>61</v>
      </c>
      <c r="D670" s="3" t="s">
        <v>62</v>
      </c>
      <c r="E670" s="3" t="s">
        <v>29</v>
      </c>
      <c r="F670" s="3" t="n">
        <v>7</v>
      </c>
      <c r="G670" s="36" t="n">
        <v>1.9</v>
      </c>
      <c r="H670" s="36" t="n">
        <f aca="false">F670*G670</f>
        <v>13.3</v>
      </c>
      <c r="I670" s="36" t="n">
        <f aca="false">INDEX(Inventory!$D$2:$D$17,MATCH(C670,Inventory!$A$2:$A$17,0))</f>
        <v>1.1</v>
      </c>
      <c r="J670" s="36" t="n">
        <f aca="false">F670*I670</f>
        <v>7.7</v>
      </c>
      <c r="K670" s="36" t="n">
        <f aca="false">H670-J670</f>
        <v>5.6</v>
      </c>
    </row>
    <row r="671" customFormat="false" ht="15" hidden="false" customHeight="false" outlineLevel="0" collapsed="false">
      <c r="A671" s="41" t="n">
        <v>46245</v>
      </c>
      <c r="B671" s="42" t="n">
        <f aca="false">DATE(YEAR(A671),MONTH(A671),1)</f>
        <v>46235</v>
      </c>
      <c r="C671" s="3" t="s">
        <v>45</v>
      </c>
      <c r="D671" s="3" t="s">
        <v>46</v>
      </c>
      <c r="E671" s="3" t="s">
        <v>29</v>
      </c>
      <c r="F671" s="3" t="n">
        <v>5</v>
      </c>
      <c r="G671" s="36" t="n">
        <v>5.2</v>
      </c>
      <c r="H671" s="36" t="n">
        <f aca="false">F671*G671</f>
        <v>26</v>
      </c>
      <c r="I671" s="36" t="n">
        <f aca="false">INDEX(Inventory!$D$2:$D$17,MATCH(C671,Inventory!$A$2:$A$17,0))</f>
        <v>3.5</v>
      </c>
      <c r="J671" s="36" t="n">
        <f aca="false">F671*I671</f>
        <v>17.5</v>
      </c>
      <c r="K671" s="36" t="n">
        <f aca="false">H671-J671</f>
        <v>8.5</v>
      </c>
    </row>
    <row r="672" customFormat="false" ht="15" hidden="false" customHeight="false" outlineLevel="0" collapsed="false">
      <c r="A672" s="41" t="n">
        <v>46245</v>
      </c>
      <c r="B672" s="42" t="n">
        <f aca="false">DATE(YEAR(A672),MONTH(A672),1)</f>
        <v>46235</v>
      </c>
      <c r="C672" s="3" t="s">
        <v>65</v>
      </c>
      <c r="D672" s="3" t="s">
        <v>66</v>
      </c>
      <c r="E672" s="3" t="s">
        <v>29</v>
      </c>
      <c r="F672" s="3" t="n">
        <v>5</v>
      </c>
      <c r="G672" s="36" t="n">
        <v>1.5</v>
      </c>
      <c r="H672" s="36" t="n">
        <f aca="false">F672*G672</f>
        <v>7.5</v>
      </c>
      <c r="I672" s="36" t="n">
        <f aca="false">INDEX(Inventory!$D$2:$D$17,MATCH(C672,Inventory!$A$2:$A$17,0))</f>
        <v>0.9</v>
      </c>
      <c r="J672" s="36" t="n">
        <f aca="false">F672*I672</f>
        <v>4.5</v>
      </c>
      <c r="K672" s="36" t="n">
        <f aca="false">H672-J672</f>
        <v>3</v>
      </c>
    </row>
    <row r="673" customFormat="false" ht="15" hidden="false" customHeight="false" outlineLevel="0" collapsed="false">
      <c r="A673" s="41" t="n">
        <v>46245</v>
      </c>
      <c r="B673" s="42" t="n">
        <f aca="false">DATE(YEAR(A673),MONTH(A673),1)</f>
        <v>46235</v>
      </c>
      <c r="C673" s="3" t="s">
        <v>55</v>
      </c>
      <c r="D673" s="3" t="s">
        <v>56</v>
      </c>
      <c r="E673" s="3" t="s">
        <v>29</v>
      </c>
      <c r="F673" s="3" t="n">
        <v>9</v>
      </c>
      <c r="G673" s="36" t="n">
        <v>2.5</v>
      </c>
      <c r="H673" s="36" t="n">
        <f aca="false">F673*G673</f>
        <v>22.5</v>
      </c>
      <c r="I673" s="36" t="n">
        <f aca="false">INDEX(Inventory!$D$2:$D$17,MATCH(C673,Inventory!$A$2:$A$17,0))</f>
        <v>1.6</v>
      </c>
      <c r="J673" s="36" t="n">
        <f aca="false">F673*I673</f>
        <v>14.4</v>
      </c>
      <c r="K673" s="36" t="n">
        <f aca="false">H673-J673</f>
        <v>8.1</v>
      </c>
    </row>
    <row r="674" customFormat="false" ht="15" hidden="false" customHeight="false" outlineLevel="0" collapsed="false">
      <c r="A674" s="41" t="n">
        <v>46246</v>
      </c>
      <c r="B674" s="42" t="n">
        <f aca="false">DATE(YEAR(A674),MONTH(A674),1)</f>
        <v>46235</v>
      </c>
      <c r="C674" s="3" t="s">
        <v>39</v>
      </c>
      <c r="D674" s="3" t="s">
        <v>40</v>
      </c>
      <c r="E674" s="3" t="s">
        <v>27</v>
      </c>
      <c r="F674" s="3" t="n">
        <v>33</v>
      </c>
      <c r="G674" s="36" t="n">
        <v>1</v>
      </c>
      <c r="H674" s="36" t="n">
        <f aca="false">F674*G674</f>
        <v>33</v>
      </c>
      <c r="I674" s="36" t="n">
        <f aca="false">INDEX(Inventory!$D$2:$D$17,MATCH(C674,Inventory!$A$2:$A$17,0))</f>
        <v>0.6</v>
      </c>
      <c r="J674" s="36" t="n">
        <f aca="false">F674*I674</f>
        <v>19.8</v>
      </c>
      <c r="K674" s="36" t="n">
        <f aca="false">H674-J674</f>
        <v>13.2</v>
      </c>
    </row>
    <row r="675" customFormat="false" ht="15" hidden="false" customHeight="false" outlineLevel="0" collapsed="false">
      <c r="A675" s="41" t="n">
        <v>46246</v>
      </c>
      <c r="B675" s="42" t="n">
        <f aca="false">DATE(YEAR(A675),MONTH(A675),1)</f>
        <v>46235</v>
      </c>
      <c r="C675" s="3" t="s">
        <v>53</v>
      </c>
      <c r="D675" s="3" t="s">
        <v>54</v>
      </c>
      <c r="E675" s="3" t="s">
        <v>27</v>
      </c>
      <c r="F675" s="3" t="n">
        <v>18</v>
      </c>
      <c r="G675" s="36" t="n">
        <v>0.95</v>
      </c>
      <c r="H675" s="36" t="n">
        <f aca="false">F675*G675</f>
        <v>17.1</v>
      </c>
      <c r="I675" s="36" t="n">
        <f aca="false">INDEX(Inventory!$D$2:$D$17,MATCH(C675,Inventory!$A$2:$A$17,0))</f>
        <v>0.55</v>
      </c>
      <c r="J675" s="36" t="n">
        <f aca="false">F675*I675</f>
        <v>9.9</v>
      </c>
      <c r="K675" s="36" t="n">
        <f aca="false">H675-J675</f>
        <v>7.2</v>
      </c>
    </row>
    <row r="676" customFormat="false" ht="15" hidden="false" customHeight="false" outlineLevel="0" collapsed="false">
      <c r="A676" s="41" t="n">
        <v>46246</v>
      </c>
      <c r="B676" s="42" t="n">
        <f aca="false">DATE(YEAR(A676),MONTH(A676),1)</f>
        <v>46235</v>
      </c>
      <c r="C676" s="3" t="s">
        <v>59</v>
      </c>
      <c r="D676" s="3" t="s">
        <v>60</v>
      </c>
      <c r="E676" s="3" t="s">
        <v>27</v>
      </c>
      <c r="F676" s="3" t="n">
        <v>24</v>
      </c>
      <c r="G676" s="36" t="n">
        <v>0.6</v>
      </c>
      <c r="H676" s="36" t="n">
        <f aca="false">F676*G676</f>
        <v>14.4</v>
      </c>
      <c r="I676" s="36" t="n">
        <f aca="false">INDEX(Inventory!$D$2:$D$17,MATCH(C676,Inventory!$A$2:$A$17,0))</f>
        <v>0.3</v>
      </c>
      <c r="J676" s="36" t="n">
        <f aca="false">F676*I676</f>
        <v>7.2</v>
      </c>
      <c r="K676" s="36" t="n">
        <f aca="false">H676-J676</f>
        <v>7.2</v>
      </c>
    </row>
    <row r="677" customFormat="false" ht="15" hidden="false" customHeight="false" outlineLevel="0" collapsed="false">
      <c r="A677" s="41" t="n">
        <v>46246</v>
      </c>
      <c r="B677" s="42" t="n">
        <f aca="false">DATE(YEAR(A677),MONTH(A677),1)</f>
        <v>46235</v>
      </c>
      <c r="C677" s="3" t="s">
        <v>57</v>
      </c>
      <c r="D677" s="3" t="s">
        <v>58</v>
      </c>
      <c r="E677" s="3" t="s">
        <v>27</v>
      </c>
      <c r="F677" s="3" t="n">
        <v>10</v>
      </c>
      <c r="G677" s="36" t="n">
        <v>1.5</v>
      </c>
      <c r="H677" s="36" t="n">
        <f aca="false">F677*G677</f>
        <v>15</v>
      </c>
      <c r="I677" s="36" t="n">
        <f aca="false">INDEX(Inventory!$D$2:$D$17,MATCH(C677,Inventory!$A$2:$A$17,0))</f>
        <v>0.9</v>
      </c>
      <c r="J677" s="36" t="n">
        <f aca="false">F677*I677</f>
        <v>9</v>
      </c>
      <c r="K677" s="36" t="n">
        <f aca="false">H677-J677</f>
        <v>6</v>
      </c>
    </row>
    <row r="678" customFormat="false" ht="15" hidden="false" customHeight="false" outlineLevel="0" collapsed="false">
      <c r="A678" s="41" t="n">
        <v>46246</v>
      </c>
      <c r="B678" s="42" t="n">
        <f aca="false">DATE(YEAR(A678),MONTH(A678),1)</f>
        <v>46235</v>
      </c>
      <c r="C678" s="3" t="s">
        <v>41</v>
      </c>
      <c r="D678" s="3" t="s">
        <v>42</v>
      </c>
      <c r="E678" s="3" t="s">
        <v>28</v>
      </c>
      <c r="F678" s="3" t="n">
        <v>20</v>
      </c>
      <c r="G678" s="36" t="n">
        <v>1.3</v>
      </c>
      <c r="H678" s="36" t="n">
        <f aca="false">F678*G678</f>
        <v>26</v>
      </c>
      <c r="I678" s="36" t="n">
        <f aca="false">INDEX(Inventory!$D$2:$D$17,MATCH(C678,Inventory!$A$2:$A$17,0))</f>
        <v>0.8</v>
      </c>
      <c r="J678" s="36" t="n">
        <f aca="false">F678*I678</f>
        <v>16</v>
      </c>
      <c r="K678" s="36" t="n">
        <f aca="false">H678-J678</f>
        <v>10</v>
      </c>
    </row>
    <row r="679" customFormat="false" ht="15" hidden="false" customHeight="false" outlineLevel="0" collapsed="false">
      <c r="A679" s="41" t="n">
        <v>46246</v>
      </c>
      <c r="B679" s="42" t="n">
        <f aca="false">DATE(YEAR(A679),MONTH(A679),1)</f>
        <v>46235</v>
      </c>
      <c r="C679" s="3" t="s">
        <v>63</v>
      </c>
      <c r="D679" s="3" t="s">
        <v>64</v>
      </c>
      <c r="E679" s="3" t="s">
        <v>28</v>
      </c>
      <c r="F679" s="3" t="n">
        <v>6</v>
      </c>
      <c r="G679" s="36" t="n">
        <v>0.9</v>
      </c>
      <c r="H679" s="36" t="n">
        <f aca="false">F679*G679</f>
        <v>5.4</v>
      </c>
      <c r="I679" s="36" t="n">
        <f aca="false">INDEX(Inventory!$D$2:$D$17,MATCH(C679,Inventory!$A$2:$A$17,0))</f>
        <v>0.5</v>
      </c>
      <c r="J679" s="36" t="n">
        <f aca="false">F679*I679</f>
        <v>3</v>
      </c>
      <c r="K679" s="36" t="n">
        <f aca="false">H679-J679</f>
        <v>2.4</v>
      </c>
    </row>
    <row r="680" customFormat="false" ht="15" hidden="false" customHeight="false" outlineLevel="0" collapsed="false">
      <c r="A680" s="41" t="n">
        <v>46246</v>
      </c>
      <c r="B680" s="42" t="n">
        <f aca="false">DATE(YEAR(A680),MONTH(A680),1)</f>
        <v>46235</v>
      </c>
      <c r="C680" s="3" t="s">
        <v>49</v>
      </c>
      <c r="D680" s="3" t="s">
        <v>50</v>
      </c>
      <c r="E680" s="3" t="s">
        <v>28</v>
      </c>
      <c r="F680" s="3" t="n">
        <v>17</v>
      </c>
      <c r="G680" s="36" t="n">
        <v>1.2</v>
      </c>
      <c r="H680" s="36" t="n">
        <f aca="false">F680*G680</f>
        <v>20.4</v>
      </c>
      <c r="I680" s="36" t="n">
        <f aca="false">INDEX(Inventory!$D$2:$D$17,MATCH(C680,Inventory!$A$2:$A$17,0))</f>
        <v>0.7</v>
      </c>
      <c r="J680" s="36" t="n">
        <f aca="false">F680*I680</f>
        <v>11.9</v>
      </c>
      <c r="K680" s="36" t="n">
        <f aca="false">H680-J680</f>
        <v>8.5</v>
      </c>
    </row>
    <row r="681" customFormat="false" ht="15" hidden="false" customHeight="false" outlineLevel="0" collapsed="false">
      <c r="A681" s="41" t="n">
        <v>46246</v>
      </c>
      <c r="B681" s="42" t="n">
        <f aca="false">DATE(YEAR(A681),MONTH(A681),1)</f>
        <v>46235</v>
      </c>
      <c r="C681" s="3" t="s">
        <v>51</v>
      </c>
      <c r="D681" s="3" t="s">
        <v>52</v>
      </c>
      <c r="E681" s="3" t="s">
        <v>28</v>
      </c>
      <c r="F681" s="3" t="n">
        <v>27</v>
      </c>
      <c r="G681" s="36" t="n">
        <v>0.85</v>
      </c>
      <c r="H681" s="36" t="n">
        <f aca="false">F681*G681</f>
        <v>22.95</v>
      </c>
      <c r="I681" s="36" t="n">
        <f aca="false">INDEX(Inventory!$D$2:$D$17,MATCH(C681,Inventory!$A$2:$A$17,0))</f>
        <v>0.45</v>
      </c>
      <c r="J681" s="36" t="n">
        <f aca="false">F681*I681</f>
        <v>12.15</v>
      </c>
      <c r="K681" s="36" t="n">
        <f aca="false">H681-J681</f>
        <v>10.8</v>
      </c>
    </row>
    <row r="682" customFormat="false" ht="15" hidden="false" customHeight="false" outlineLevel="0" collapsed="false">
      <c r="A682" s="41" t="n">
        <v>46246</v>
      </c>
      <c r="B682" s="42" t="n">
        <f aca="false">DATE(YEAR(A682),MONTH(A682),1)</f>
        <v>46235</v>
      </c>
      <c r="C682" s="3" t="s">
        <v>37</v>
      </c>
      <c r="D682" s="3" t="s">
        <v>38</v>
      </c>
      <c r="E682" s="3" t="s">
        <v>26</v>
      </c>
      <c r="F682" s="3" t="n">
        <v>23</v>
      </c>
      <c r="G682" s="36" t="n">
        <v>1.2</v>
      </c>
      <c r="H682" s="36" t="n">
        <f aca="false">F682*G682</f>
        <v>27.6</v>
      </c>
      <c r="I682" s="36" t="n">
        <f aca="false">INDEX(Inventory!$D$2:$D$17,MATCH(C682,Inventory!$A$2:$A$17,0))</f>
        <v>0.85</v>
      </c>
      <c r="J682" s="36" t="n">
        <f aca="false">F682*I682</f>
        <v>19.55</v>
      </c>
      <c r="K682" s="36" t="n">
        <f aca="false">H682-J682</f>
        <v>8.05</v>
      </c>
    </row>
    <row r="683" customFormat="false" ht="15" hidden="false" customHeight="false" outlineLevel="0" collapsed="false">
      <c r="A683" s="41" t="n">
        <v>46246</v>
      </c>
      <c r="B683" s="42" t="n">
        <f aca="false">DATE(YEAR(A683),MONTH(A683),1)</f>
        <v>46235</v>
      </c>
      <c r="C683" s="3" t="s">
        <v>47</v>
      </c>
      <c r="D683" s="3" t="s">
        <v>48</v>
      </c>
      <c r="E683" s="3" t="s">
        <v>26</v>
      </c>
      <c r="F683" s="3" t="n">
        <v>9</v>
      </c>
      <c r="G683" s="36" t="n">
        <v>2.2</v>
      </c>
      <c r="H683" s="36" t="n">
        <f aca="false">F683*G683</f>
        <v>19.8</v>
      </c>
      <c r="I683" s="36" t="n">
        <f aca="false">INDEX(Inventory!$D$2:$D$17,MATCH(C683,Inventory!$A$2:$A$17,0))</f>
        <v>1.4</v>
      </c>
      <c r="J683" s="36" t="n">
        <f aca="false">F683*I683</f>
        <v>12.6</v>
      </c>
      <c r="K683" s="36" t="n">
        <f aca="false">H683-J683</f>
        <v>7.2</v>
      </c>
    </row>
    <row r="684" customFormat="false" ht="15" hidden="false" customHeight="false" outlineLevel="0" collapsed="false">
      <c r="A684" s="41" t="n">
        <v>46246</v>
      </c>
      <c r="B684" s="42" t="n">
        <f aca="false">DATE(YEAR(A684),MONTH(A684),1)</f>
        <v>46235</v>
      </c>
      <c r="C684" s="3" t="s">
        <v>43</v>
      </c>
      <c r="D684" s="3" t="s">
        <v>44</v>
      </c>
      <c r="E684" s="3" t="s">
        <v>26</v>
      </c>
      <c r="F684" s="3" t="n">
        <v>8</v>
      </c>
      <c r="G684" s="36" t="n">
        <v>3.8</v>
      </c>
      <c r="H684" s="36" t="n">
        <f aca="false">F684*G684</f>
        <v>30.4</v>
      </c>
      <c r="I684" s="36" t="n">
        <f aca="false">INDEX(Inventory!$D$2:$D$17,MATCH(C684,Inventory!$A$2:$A$17,0))</f>
        <v>2.6</v>
      </c>
      <c r="J684" s="36" t="n">
        <f aca="false">F684*I684</f>
        <v>20.8</v>
      </c>
      <c r="K684" s="36" t="n">
        <f aca="false">H684-J684</f>
        <v>9.6</v>
      </c>
    </row>
    <row r="685" customFormat="false" ht="15" hidden="false" customHeight="false" outlineLevel="0" collapsed="false">
      <c r="A685" s="41" t="n">
        <v>46246</v>
      </c>
      <c r="B685" s="42" t="n">
        <f aca="false">DATE(YEAR(A685),MONTH(A685),1)</f>
        <v>46235</v>
      </c>
      <c r="C685" s="3" t="s">
        <v>67</v>
      </c>
      <c r="D685" s="3" t="s">
        <v>68</v>
      </c>
      <c r="E685" s="3" t="s">
        <v>26</v>
      </c>
      <c r="F685" s="3" t="n">
        <v>7</v>
      </c>
      <c r="G685" s="36" t="n">
        <v>1.9</v>
      </c>
      <c r="H685" s="36" t="n">
        <f aca="false">F685*G685</f>
        <v>13.3</v>
      </c>
      <c r="I685" s="36" t="n">
        <f aca="false">INDEX(Inventory!$D$2:$D$17,MATCH(C685,Inventory!$A$2:$A$17,0))</f>
        <v>1.3</v>
      </c>
      <c r="J685" s="36" t="n">
        <f aca="false">F685*I685</f>
        <v>9.1</v>
      </c>
      <c r="K685" s="36" t="n">
        <f aca="false">H685-J685</f>
        <v>4.2</v>
      </c>
    </row>
    <row r="686" customFormat="false" ht="15" hidden="false" customHeight="false" outlineLevel="0" collapsed="false">
      <c r="A686" s="41" t="n">
        <v>46246</v>
      </c>
      <c r="B686" s="42" t="n">
        <f aca="false">DATE(YEAR(A686),MONTH(A686),1)</f>
        <v>46235</v>
      </c>
      <c r="C686" s="3" t="s">
        <v>61</v>
      </c>
      <c r="D686" s="3" t="s">
        <v>62</v>
      </c>
      <c r="E686" s="3" t="s">
        <v>29</v>
      </c>
      <c r="F686" s="3" t="n">
        <v>12</v>
      </c>
      <c r="G686" s="36" t="n">
        <v>1.9</v>
      </c>
      <c r="H686" s="36" t="n">
        <f aca="false">F686*G686</f>
        <v>22.8</v>
      </c>
      <c r="I686" s="36" t="n">
        <f aca="false">INDEX(Inventory!$D$2:$D$17,MATCH(C686,Inventory!$A$2:$A$17,0))</f>
        <v>1.1</v>
      </c>
      <c r="J686" s="36" t="n">
        <f aca="false">F686*I686</f>
        <v>13.2</v>
      </c>
      <c r="K686" s="36" t="n">
        <f aca="false">H686-J686</f>
        <v>9.6</v>
      </c>
    </row>
    <row r="687" customFormat="false" ht="15" hidden="false" customHeight="false" outlineLevel="0" collapsed="false">
      <c r="A687" s="41" t="n">
        <v>46246</v>
      </c>
      <c r="B687" s="42" t="n">
        <f aca="false">DATE(YEAR(A687),MONTH(A687),1)</f>
        <v>46235</v>
      </c>
      <c r="C687" s="3" t="s">
        <v>45</v>
      </c>
      <c r="D687" s="3" t="s">
        <v>46</v>
      </c>
      <c r="E687" s="3" t="s">
        <v>29</v>
      </c>
      <c r="F687" s="3" t="n">
        <v>5</v>
      </c>
      <c r="G687" s="36" t="n">
        <v>5.2</v>
      </c>
      <c r="H687" s="36" t="n">
        <f aca="false">F687*G687</f>
        <v>26</v>
      </c>
      <c r="I687" s="36" t="n">
        <f aca="false">INDEX(Inventory!$D$2:$D$17,MATCH(C687,Inventory!$A$2:$A$17,0))</f>
        <v>3.5</v>
      </c>
      <c r="J687" s="36" t="n">
        <f aca="false">F687*I687</f>
        <v>17.5</v>
      </c>
      <c r="K687" s="36" t="n">
        <f aca="false">H687-J687</f>
        <v>8.5</v>
      </c>
    </row>
    <row r="688" customFormat="false" ht="15" hidden="false" customHeight="false" outlineLevel="0" collapsed="false">
      <c r="A688" s="41" t="n">
        <v>46246</v>
      </c>
      <c r="B688" s="42" t="n">
        <f aca="false">DATE(YEAR(A688),MONTH(A688),1)</f>
        <v>46235</v>
      </c>
      <c r="C688" s="3" t="s">
        <v>65</v>
      </c>
      <c r="D688" s="3" t="s">
        <v>66</v>
      </c>
      <c r="E688" s="3" t="s">
        <v>29</v>
      </c>
      <c r="F688" s="3" t="n">
        <v>7</v>
      </c>
      <c r="G688" s="36" t="n">
        <v>1.5</v>
      </c>
      <c r="H688" s="36" t="n">
        <f aca="false">F688*G688</f>
        <v>10.5</v>
      </c>
      <c r="I688" s="36" t="n">
        <f aca="false">INDEX(Inventory!$D$2:$D$17,MATCH(C688,Inventory!$A$2:$A$17,0))</f>
        <v>0.9</v>
      </c>
      <c r="J688" s="36" t="n">
        <f aca="false">F688*I688</f>
        <v>6.3</v>
      </c>
      <c r="K688" s="36" t="n">
        <f aca="false">H688-J688</f>
        <v>4.2</v>
      </c>
    </row>
    <row r="689" customFormat="false" ht="15" hidden="false" customHeight="false" outlineLevel="0" collapsed="false">
      <c r="A689" s="41" t="n">
        <v>46246</v>
      </c>
      <c r="B689" s="42" t="n">
        <f aca="false">DATE(YEAR(A689),MONTH(A689),1)</f>
        <v>46235</v>
      </c>
      <c r="C689" s="3" t="s">
        <v>55</v>
      </c>
      <c r="D689" s="3" t="s">
        <v>56</v>
      </c>
      <c r="E689" s="3" t="s">
        <v>29</v>
      </c>
      <c r="F689" s="3" t="n">
        <v>6</v>
      </c>
      <c r="G689" s="36" t="n">
        <v>2.5</v>
      </c>
      <c r="H689" s="36" t="n">
        <f aca="false">F689*G689</f>
        <v>15</v>
      </c>
      <c r="I689" s="36" t="n">
        <f aca="false">INDEX(Inventory!$D$2:$D$17,MATCH(C689,Inventory!$A$2:$A$17,0))</f>
        <v>1.6</v>
      </c>
      <c r="J689" s="36" t="n">
        <f aca="false">F689*I689</f>
        <v>9.6</v>
      </c>
      <c r="K689" s="36" t="n">
        <f aca="false">H689-J689</f>
        <v>5.4</v>
      </c>
    </row>
    <row r="690" customFormat="false" ht="15" hidden="false" customHeight="false" outlineLevel="0" collapsed="false">
      <c r="A690" s="41" t="n">
        <v>46247</v>
      </c>
      <c r="B690" s="42" t="n">
        <f aca="false">DATE(YEAR(A690),MONTH(A690),1)</f>
        <v>46235</v>
      </c>
      <c r="C690" s="3" t="s">
        <v>39</v>
      </c>
      <c r="D690" s="3" t="s">
        <v>40</v>
      </c>
      <c r="E690" s="3" t="s">
        <v>27</v>
      </c>
      <c r="F690" s="3" t="n">
        <v>28</v>
      </c>
      <c r="G690" s="36" t="n">
        <v>1</v>
      </c>
      <c r="H690" s="36" t="n">
        <f aca="false">F690*G690</f>
        <v>28</v>
      </c>
      <c r="I690" s="36" t="n">
        <f aca="false">INDEX(Inventory!$D$2:$D$17,MATCH(C690,Inventory!$A$2:$A$17,0))</f>
        <v>0.6</v>
      </c>
      <c r="J690" s="36" t="n">
        <f aca="false">F690*I690</f>
        <v>16.8</v>
      </c>
      <c r="K690" s="36" t="n">
        <f aca="false">H690-J690</f>
        <v>11.2</v>
      </c>
    </row>
    <row r="691" customFormat="false" ht="15" hidden="false" customHeight="false" outlineLevel="0" collapsed="false">
      <c r="A691" s="41" t="n">
        <v>46247</v>
      </c>
      <c r="B691" s="42" t="n">
        <f aca="false">DATE(YEAR(A691),MONTH(A691),1)</f>
        <v>46235</v>
      </c>
      <c r="C691" s="3" t="s">
        <v>53</v>
      </c>
      <c r="D691" s="3" t="s">
        <v>54</v>
      </c>
      <c r="E691" s="3" t="s">
        <v>27</v>
      </c>
      <c r="F691" s="3" t="n">
        <v>26</v>
      </c>
      <c r="G691" s="36" t="n">
        <v>0.95</v>
      </c>
      <c r="H691" s="36" t="n">
        <f aca="false">F691*G691</f>
        <v>24.7</v>
      </c>
      <c r="I691" s="36" t="n">
        <f aca="false">INDEX(Inventory!$D$2:$D$17,MATCH(C691,Inventory!$A$2:$A$17,0))</f>
        <v>0.55</v>
      </c>
      <c r="J691" s="36" t="n">
        <f aca="false">F691*I691</f>
        <v>14.3</v>
      </c>
      <c r="K691" s="36" t="n">
        <f aca="false">H691-J691</f>
        <v>10.4</v>
      </c>
    </row>
    <row r="692" customFormat="false" ht="15" hidden="false" customHeight="false" outlineLevel="0" collapsed="false">
      <c r="A692" s="41" t="n">
        <v>46247</v>
      </c>
      <c r="B692" s="42" t="n">
        <f aca="false">DATE(YEAR(A692),MONTH(A692),1)</f>
        <v>46235</v>
      </c>
      <c r="C692" s="3" t="s">
        <v>59</v>
      </c>
      <c r="D692" s="3" t="s">
        <v>60</v>
      </c>
      <c r="E692" s="3" t="s">
        <v>27</v>
      </c>
      <c r="F692" s="3" t="n">
        <v>29</v>
      </c>
      <c r="G692" s="36" t="n">
        <v>0.6</v>
      </c>
      <c r="H692" s="36" t="n">
        <f aca="false">F692*G692</f>
        <v>17.4</v>
      </c>
      <c r="I692" s="36" t="n">
        <f aca="false">INDEX(Inventory!$D$2:$D$17,MATCH(C692,Inventory!$A$2:$A$17,0))</f>
        <v>0.3</v>
      </c>
      <c r="J692" s="36" t="n">
        <f aca="false">F692*I692</f>
        <v>8.7</v>
      </c>
      <c r="K692" s="36" t="n">
        <f aca="false">H692-J692</f>
        <v>8.7</v>
      </c>
    </row>
    <row r="693" customFormat="false" ht="15" hidden="false" customHeight="false" outlineLevel="0" collapsed="false">
      <c r="A693" s="41" t="n">
        <v>46247</v>
      </c>
      <c r="B693" s="42" t="n">
        <f aca="false">DATE(YEAR(A693),MONTH(A693),1)</f>
        <v>46235</v>
      </c>
      <c r="C693" s="3" t="s">
        <v>57</v>
      </c>
      <c r="D693" s="3" t="s">
        <v>58</v>
      </c>
      <c r="E693" s="3" t="s">
        <v>27</v>
      </c>
      <c r="F693" s="3" t="n">
        <v>9</v>
      </c>
      <c r="G693" s="36" t="n">
        <v>1.5</v>
      </c>
      <c r="H693" s="36" t="n">
        <f aca="false">F693*G693</f>
        <v>13.5</v>
      </c>
      <c r="I693" s="36" t="n">
        <f aca="false">INDEX(Inventory!$D$2:$D$17,MATCH(C693,Inventory!$A$2:$A$17,0))</f>
        <v>0.9</v>
      </c>
      <c r="J693" s="36" t="n">
        <f aca="false">F693*I693</f>
        <v>8.1</v>
      </c>
      <c r="K693" s="36" t="n">
        <f aca="false">H693-J693</f>
        <v>5.4</v>
      </c>
    </row>
    <row r="694" customFormat="false" ht="15" hidden="false" customHeight="false" outlineLevel="0" collapsed="false">
      <c r="A694" s="41" t="n">
        <v>46247</v>
      </c>
      <c r="B694" s="42" t="n">
        <f aca="false">DATE(YEAR(A694),MONTH(A694),1)</f>
        <v>46235</v>
      </c>
      <c r="C694" s="3" t="s">
        <v>41</v>
      </c>
      <c r="D694" s="3" t="s">
        <v>42</v>
      </c>
      <c r="E694" s="3" t="s">
        <v>28</v>
      </c>
      <c r="F694" s="3" t="n">
        <v>16</v>
      </c>
      <c r="G694" s="36" t="n">
        <v>1.3</v>
      </c>
      <c r="H694" s="36" t="n">
        <f aca="false">F694*G694</f>
        <v>20.8</v>
      </c>
      <c r="I694" s="36" t="n">
        <f aca="false">INDEX(Inventory!$D$2:$D$17,MATCH(C694,Inventory!$A$2:$A$17,0))</f>
        <v>0.8</v>
      </c>
      <c r="J694" s="36" t="n">
        <f aca="false">F694*I694</f>
        <v>12.8</v>
      </c>
      <c r="K694" s="36" t="n">
        <f aca="false">H694-J694</f>
        <v>8</v>
      </c>
    </row>
    <row r="695" customFormat="false" ht="15" hidden="false" customHeight="false" outlineLevel="0" collapsed="false">
      <c r="A695" s="41" t="n">
        <v>46247</v>
      </c>
      <c r="B695" s="42" t="n">
        <f aca="false">DATE(YEAR(A695),MONTH(A695),1)</f>
        <v>46235</v>
      </c>
      <c r="C695" s="3" t="s">
        <v>63</v>
      </c>
      <c r="D695" s="3" t="s">
        <v>64</v>
      </c>
      <c r="E695" s="3" t="s">
        <v>28</v>
      </c>
      <c r="F695" s="3" t="n">
        <v>7</v>
      </c>
      <c r="G695" s="36" t="n">
        <v>0.9</v>
      </c>
      <c r="H695" s="36" t="n">
        <f aca="false">F695*G695</f>
        <v>6.3</v>
      </c>
      <c r="I695" s="36" t="n">
        <f aca="false">INDEX(Inventory!$D$2:$D$17,MATCH(C695,Inventory!$A$2:$A$17,0))</f>
        <v>0.5</v>
      </c>
      <c r="J695" s="36" t="n">
        <f aca="false">F695*I695</f>
        <v>3.5</v>
      </c>
      <c r="K695" s="36" t="n">
        <f aca="false">H695-J695</f>
        <v>2.8</v>
      </c>
    </row>
    <row r="696" customFormat="false" ht="15" hidden="false" customHeight="false" outlineLevel="0" collapsed="false">
      <c r="A696" s="41" t="n">
        <v>46247</v>
      </c>
      <c r="B696" s="42" t="n">
        <f aca="false">DATE(YEAR(A696),MONTH(A696),1)</f>
        <v>46235</v>
      </c>
      <c r="C696" s="3" t="s">
        <v>49</v>
      </c>
      <c r="D696" s="3" t="s">
        <v>50</v>
      </c>
      <c r="E696" s="3" t="s">
        <v>28</v>
      </c>
      <c r="F696" s="3" t="n">
        <v>18</v>
      </c>
      <c r="G696" s="36" t="n">
        <v>1.2</v>
      </c>
      <c r="H696" s="36" t="n">
        <f aca="false">F696*G696</f>
        <v>21.6</v>
      </c>
      <c r="I696" s="36" t="n">
        <f aca="false">INDEX(Inventory!$D$2:$D$17,MATCH(C696,Inventory!$A$2:$A$17,0))</f>
        <v>0.7</v>
      </c>
      <c r="J696" s="36" t="n">
        <f aca="false">F696*I696</f>
        <v>12.6</v>
      </c>
      <c r="K696" s="36" t="n">
        <f aca="false">H696-J696</f>
        <v>9</v>
      </c>
    </row>
    <row r="697" customFormat="false" ht="15" hidden="false" customHeight="false" outlineLevel="0" collapsed="false">
      <c r="A697" s="41" t="n">
        <v>46247</v>
      </c>
      <c r="B697" s="42" t="n">
        <f aca="false">DATE(YEAR(A697),MONTH(A697),1)</f>
        <v>46235</v>
      </c>
      <c r="C697" s="3" t="s">
        <v>51</v>
      </c>
      <c r="D697" s="3" t="s">
        <v>52</v>
      </c>
      <c r="E697" s="3" t="s">
        <v>28</v>
      </c>
      <c r="F697" s="3" t="n">
        <v>15</v>
      </c>
      <c r="G697" s="36" t="n">
        <v>0.85</v>
      </c>
      <c r="H697" s="36" t="n">
        <f aca="false">F697*G697</f>
        <v>12.75</v>
      </c>
      <c r="I697" s="36" t="n">
        <f aca="false">INDEX(Inventory!$D$2:$D$17,MATCH(C697,Inventory!$A$2:$A$17,0))</f>
        <v>0.45</v>
      </c>
      <c r="J697" s="36" t="n">
        <f aca="false">F697*I697</f>
        <v>6.75</v>
      </c>
      <c r="K697" s="36" t="n">
        <f aca="false">H697-J697</f>
        <v>6</v>
      </c>
    </row>
    <row r="698" customFormat="false" ht="15" hidden="false" customHeight="false" outlineLevel="0" collapsed="false">
      <c r="A698" s="41" t="n">
        <v>46247</v>
      </c>
      <c r="B698" s="42" t="n">
        <f aca="false">DATE(YEAR(A698),MONTH(A698),1)</f>
        <v>46235</v>
      </c>
      <c r="C698" s="3" t="s">
        <v>37</v>
      </c>
      <c r="D698" s="3" t="s">
        <v>38</v>
      </c>
      <c r="E698" s="3" t="s">
        <v>26</v>
      </c>
      <c r="F698" s="3" t="n">
        <v>18</v>
      </c>
      <c r="G698" s="36" t="n">
        <v>1.2</v>
      </c>
      <c r="H698" s="36" t="n">
        <f aca="false">F698*G698</f>
        <v>21.6</v>
      </c>
      <c r="I698" s="36" t="n">
        <f aca="false">INDEX(Inventory!$D$2:$D$17,MATCH(C698,Inventory!$A$2:$A$17,0))</f>
        <v>0.85</v>
      </c>
      <c r="J698" s="36" t="n">
        <f aca="false">F698*I698</f>
        <v>15.3</v>
      </c>
      <c r="K698" s="36" t="n">
        <f aca="false">H698-J698</f>
        <v>6.3</v>
      </c>
    </row>
    <row r="699" customFormat="false" ht="15" hidden="false" customHeight="false" outlineLevel="0" collapsed="false">
      <c r="A699" s="41" t="n">
        <v>46247</v>
      </c>
      <c r="B699" s="42" t="n">
        <f aca="false">DATE(YEAR(A699),MONTH(A699),1)</f>
        <v>46235</v>
      </c>
      <c r="C699" s="3" t="s">
        <v>47</v>
      </c>
      <c r="D699" s="3" t="s">
        <v>48</v>
      </c>
      <c r="E699" s="3" t="s">
        <v>26</v>
      </c>
      <c r="F699" s="3" t="n">
        <v>5</v>
      </c>
      <c r="G699" s="36" t="n">
        <v>2.2</v>
      </c>
      <c r="H699" s="36" t="n">
        <f aca="false">F699*G699</f>
        <v>11</v>
      </c>
      <c r="I699" s="36" t="n">
        <f aca="false">INDEX(Inventory!$D$2:$D$17,MATCH(C699,Inventory!$A$2:$A$17,0))</f>
        <v>1.4</v>
      </c>
      <c r="J699" s="36" t="n">
        <f aca="false">F699*I699</f>
        <v>7</v>
      </c>
      <c r="K699" s="36" t="n">
        <f aca="false">H699-J699</f>
        <v>4</v>
      </c>
    </row>
    <row r="700" customFormat="false" ht="15" hidden="false" customHeight="false" outlineLevel="0" collapsed="false">
      <c r="A700" s="41" t="n">
        <v>46247</v>
      </c>
      <c r="B700" s="42" t="n">
        <f aca="false">DATE(YEAR(A700),MONTH(A700),1)</f>
        <v>46235</v>
      </c>
      <c r="C700" s="3" t="s">
        <v>43</v>
      </c>
      <c r="D700" s="3" t="s">
        <v>44</v>
      </c>
      <c r="E700" s="3" t="s">
        <v>26</v>
      </c>
      <c r="F700" s="3" t="n">
        <v>5</v>
      </c>
      <c r="G700" s="36" t="n">
        <v>3.8</v>
      </c>
      <c r="H700" s="36" t="n">
        <f aca="false">F700*G700</f>
        <v>19</v>
      </c>
      <c r="I700" s="36" t="n">
        <f aca="false">INDEX(Inventory!$D$2:$D$17,MATCH(C700,Inventory!$A$2:$A$17,0))</f>
        <v>2.6</v>
      </c>
      <c r="J700" s="36" t="n">
        <f aca="false">F700*I700</f>
        <v>13</v>
      </c>
      <c r="K700" s="36" t="n">
        <f aca="false">H700-J700</f>
        <v>6</v>
      </c>
    </row>
    <row r="701" customFormat="false" ht="15" hidden="false" customHeight="false" outlineLevel="0" collapsed="false">
      <c r="A701" s="41" t="n">
        <v>46247</v>
      </c>
      <c r="B701" s="42" t="n">
        <f aca="false">DATE(YEAR(A701),MONTH(A701),1)</f>
        <v>46235</v>
      </c>
      <c r="C701" s="3" t="s">
        <v>67</v>
      </c>
      <c r="D701" s="3" t="s">
        <v>68</v>
      </c>
      <c r="E701" s="3" t="s">
        <v>26</v>
      </c>
      <c r="F701" s="3" t="n">
        <v>7</v>
      </c>
      <c r="G701" s="36" t="n">
        <v>1.9</v>
      </c>
      <c r="H701" s="36" t="n">
        <f aca="false">F701*G701</f>
        <v>13.3</v>
      </c>
      <c r="I701" s="36" t="n">
        <f aca="false">INDEX(Inventory!$D$2:$D$17,MATCH(C701,Inventory!$A$2:$A$17,0))</f>
        <v>1.3</v>
      </c>
      <c r="J701" s="36" t="n">
        <f aca="false">F701*I701</f>
        <v>9.1</v>
      </c>
      <c r="K701" s="36" t="n">
        <f aca="false">H701-J701</f>
        <v>4.2</v>
      </c>
    </row>
    <row r="702" customFormat="false" ht="15" hidden="false" customHeight="false" outlineLevel="0" collapsed="false">
      <c r="A702" s="41" t="n">
        <v>46247</v>
      </c>
      <c r="B702" s="42" t="n">
        <f aca="false">DATE(YEAR(A702),MONTH(A702),1)</f>
        <v>46235</v>
      </c>
      <c r="C702" s="3" t="s">
        <v>61</v>
      </c>
      <c r="D702" s="3" t="s">
        <v>62</v>
      </c>
      <c r="E702" s="3" t="s">
        <v>29</v>
      </c>
      <c r="F702" s="3" t="n">
        <v>6</v>
      </c>
      <c r="G702" s="36" t="n">
        <v>1.9</v>
      </c>
      <c r="H702" s="36" t="n">
        <f aca="false">F702*G702</f>
        <v>11.4</v>
      </c>
      <c r="I702" s="36" t="n">
        <f aca="false">INDEX(Inventory!$D$2:$D$17,MATCH(C702,Inventory!$A$2:$A$17,0))</f>
        <v>1.1</v>
      </c>
      <c r="J702" s="36" t="n">
        <f aca="false">F702*I702</f>
        <v>6.6</v>
      </c>
      <c r="K702" s="36" t="n">
        <f aca="false">H702-J702</f>
        <v>4.8</v>
      </c>
    </row>
    <row r="703" customFormat="false" ht="15" hidden="false" customHeight="false" outlineLevel="0" collapsed="false">
      <c r="A703" s="41" t="n">
        <v>46247</v>
      </c>
      <c r="B703" s="42" t="n">
        <f aca="false">DATE(YEAR(A703),MONTH(A703),1)</f>
        <v>46235</v>
      </c>
      <c r="C703" s="3" t="s">
        <v>45</v>
      </c>
      <c r="D703" s="3" t="s">
        <v>46</v>
      </c>
      <c r="E703" s="3" t="s">
        <v>29</v>
      </c>
      <c r="F703" s="3" t="n">
        <v>3</v>
      </c>
      <c r="G703" s="36" t="n">
        <v>5.2</v>
      </c>
      <c r="H703" s="36" t="n">
        <f aca="false">F703*G703</f>
        <v>15.6</v>
      </c>
      <c r="I703" s="36" t="n">
        <f aca="false">INDEX(Inventory!$D$2:$D$17,MATCH(C703,Inventory!$A$2:$A$17,0))</f>
        <v>3.5</v>
      </c>
      <c r="J703" s="36" t="n">
        <f aca="false">F703*I703</f>
        <v>10.5</v>
      </c>
      <c r="K703" s="36" t="n">
        <f aca="false">H703-J703</f>
        <v>5.1</v>
      </c>
    </row>
    <row r="704" customFormat="false" ht="15" hidden="false" customHeight="false" outlineLevel="0" collapsed="false">
      <c r="A704" s="41" t="n">
        <v>46247</v>
      </c>
      <c r="B704" s="42" t="n">
        <f aca="false">DATE(YEAR(A704),MONTH(A704),1)</f>
        <v>46235</v>
      </c>
      <c r="C704" s="3" t="s">
        <v>65</v>
      </c>
      <c r="D704" s="3" t="s">
        <v>66</v>
      </c>
      <c r="E704" s="3" t="s">
        <v>29</v>
      </c>
      <c r="F704" s="3" t="n">
        <v>9</v>
      </c>
      <c r="G704" s="36" t="n">
        <v>1.5</v>
      </c>
      <c r="H704" s="36" t="n">
        <f aca="false">F704*G704</f>
        <v>13.5</v>
      </c>
      <c r="I704" s="36" t="n">
        <f aca="false">INDEX(Inventory!$D$2:$D$17,MATCH(C704,Inventory!$A$2:$A$17,0))</f>
        <v>0.9</v>
      </c>
      <c r="J704" s="36" t="n">
        <f aca="false">F704*I704</f>
        <v>8.1</v>
      </c>
      <c r="K704" s="36" t="n">
        <f aca="false">H704-J704</f>
        <v>5.4</v>
      </c>
    </row>
    <row r="705" customFormat="false" ht="15" hidden="false" customHeight="false" outlineLevel="0" collapsed="false">
      <c r="A705" s="41" t="n">
        <v>46247</v>
      </c>
      <c r="B705" s="42" t="n">
        <f aca="false">DATE(YEAR(A705),MONTH(A705),1)</f>
        <v>46235</v>
      </c>
      <c r="C705" s="3" t="s">
        <v>55</v>
      </c>
      <c r="D705" s="3" t="s">
        <v>56</v>
      </c>
      <c r="E705" s="3" t="s">
        <v>29</v>
      </c>
      <c r="F705" s="3" t="n">
        <v>7</v>
      </c>
      <c r="G705" s="36" t="n">
        <v>2.5</v>
      </c>
      <c r="H705" s="36" t="n">
        <f aca="false">F705*G705</f>
        <v>17.5</v>
      </c>
      <c r="I705" s="36" t="n">
        <f aca="false">INDEX(Inventory!$D$2:$D$17,MATCH(C705,Inventory!$A$2:$A$17,0))</f>
        <v>1.6</v>
      </c>
      <c r="J705" s="36" t="n">
        <f aca="false">F705*I705</f>
        <v>11.2</v>
      </c>
      <c r="K705" s="36" t="n">
        <f aca="false">H705-J705</f>
        <v>6.3</v>
      </c>
    </row>
    <row r="706" customFormat="false" ht="15" hidden="false" customHeight="false" outlineLevel="0" collapsed="false">
      <c r="A706" s="41" t="n">
        <v>46248</v>
      </c>
      <c r="B706" s="42" t="n">
        <f aca="false">DATE(YEAR(A706),MONTH(A706),1)</f>
        <v>46235</v>
      </c>
      <c r="C706" s="3" t="s">
        <v>39</v>
      </c>
      <c r="D706" s="3" t="s">
        <v>40</v>
      </c>
      <c r="E706" s="3" t="s">
        <v>27</v>
      </c>
      <c r="F706" s="3" t="n">
        <v>34</v>
      </c>
      <c r="G706" s="36" t="n">
        <v>1</v>
      </c>
      <c r="H706" s="36" t="n">
        <f aca="false">F706*G706</f>
        <v>34</v>
      </c>
      <c r="I706" s="36" t="n">
        <f aca="false">INDEX(Inventory!$D$2:$D$17,MATCH(C706,Inventory!$A$2:$A$17,0))</f>
        <v>0.6</v>
      </c>
      <c r="J706" s="36" t="n">
        <f aca="false">F706*I706</f>
        <v>20.4</v>
      </c>
      <c r="K706" s="36" t="n">
        <f aca="false">H706-J706</f>
        <v>13.6</v>
      </c>
    </row>
    <row r="707" customFormat="false" ht="15" hidden="false" customHeight="false" outlineLevel="0" collapsed="false">
      <c r="A707" s="41" t="n">
        <v>46248</v>
      </c>
      <c r="B707" s="42" t="n">
        <f aca="false">DATE(YEAR(A707),MONTH(A707),1)</f>
        <v>46235</v>
      </c>
      <c r="C707" s="3" t="s">
        <v>53</v>
      </c>
      <c r="D707" s="3" t="s">
        <v>54</v>
      </c>
      <c r="E707" s="3" t="s">
        <v>27</v>
      </c>
      <c r="F707" s="3" t="n">
        <v>25</v>
      </c>
      <c r="G707" s="36" t="n">
        <v>0.95</v>
      </c>
      <c r="H707" s="36" t="n">
        <f aca="false">F707*G707</f>
        <v>23.75</v>
      </c>
      <c r="I707" s="36" t="n">
        <f aca="false">INDEX(Inventory!$D$2:$D$17,MATCH(C707,Inventory!$A$2:$A$17,0))</f>
        <v>0.55</v>
      </c>
      <c r="J707" s="36" t="n">
        <f aca="false">F707*I707</f>
        <v>13.75</v>
      </c>
      <c r="K707" s="36" t="n">
        <f aca="false">H707-J707</f>
        <v>10</v>
      </c>
    </row>
    <row r="708" customFormat="false" ht="15" hidden="false" customHeight="false" outlineLevel="0" collapsed="false">
      <c r="A708" s="41" t="n">
        <v>46248</v>
      </c>
      <c r="B708" s="42" t="n">
        <f aca="false">DATE(YEAR(A708),MONTH(A708),1)</f>
        <v>46235</v>
      </c>
      <c r="C708" s="3" t="s">
        <v>59</v>
      </c>
      <c r="D708" s="3" t="s">
        <v>60</v>
      </c>
      <c r="E708" s="3" t="s">
        <v>27</v>
      </c>
      <c r="F708" s="3" t="n">
        <v>36</v>
      </c>
      <c r="G708" s="36" t="n">
        <v>0.6</v>
      </c>
      <c r="H708" s="36" t="n">
        <f aca="false">F708*G708</f>
        <v>21.6</v>
      </c>
      <c r="I708" s="36" t="n">
        <f aca="false">INDEX(Inventory!$D$2:$D$17,MATCH(C708,Inventory!$A$2:$A$17,0))</f>
        <v>0.3</v>
      </c>
      <c r="J708" s="36" t="n">
        <f aca="false">F708*I708</f>
        <v>10.8</v>
      </c>
      <c r="K708" s="36" t="n">
        <f aca="false">H708-J708</f>
        <v>10.8</v>
      </c>
    </row>
    <row r="709" customFormat="false" ht="15" hidden="false" customHeight="false" outlineLevel="0" collapsed="false">
      <c r="A709" s="41" t="n">
        <v>46248</v>
      </c>
      <c r="B709" s="42" t="n">
        <f aca="false">DATE(YEAR(A709),MONTH(A709),1)</f>
        <v>46235</v>
      </c>
      <c r="C709" s="3" t="s">
        <v>57</v>
      </c>
      <c r="D709" s="3" t="s">
        <v>58</v>
      </c>
      <c r="E709" s="3" t="s">
        <v>27</v>
      </c>
      <c r="F709" s="3" t="n">
        <v>10</v>
      </c>
      <c r="G709" s="36" t="n">
        <v>1.5</v>
      </c>
      <c r="H709" s="36" t="n">
        <f aca="false">F709*G709</f>
        <v>15</v>
      </c>
      <c r="I709" s="36" t="n">
        <f aca="false">INDEX(Inventory!$D$2:$D$17,MATCH(C709,Inventory!$A$2:$A$17,0))</f>
        <v>0.9</v>
      </c>
      <c r="J709" s="36" t="n">
        <f aca="false">F709*I709</f>
        <v>9</v>
      </c>
      <c r="K709" s="36" t="n">
        <f aca="false">H709-J709</f>
        <v>6</v>
      </c>
    </row>
    <row r="710" customFormat="false" ht="15" hidden="false" customHeight="false" outlineLevel="0" collapsed="false">
      <c r="A710" s="41" t="n">
        <v>46248</v>
      </c>
      <c r="B710" s="42" t="n">
        <f aca="false">DATE(YEAR(A710),MONTH(A710),1)</f>
        <v>46235</v>
      </c>
      <c r="C710" s="3" t="s">
        <v>41</v>
      </c>
      <c r="D710" s="3" t="s">
        <v>42</v>
      </c>
      <c r="E710" s="3" t="s">
        <v>28</v>
      </c>
      <c r="F710" s="3" t="n">
        <v>23</v>
      </c>
      <c r="G710" s="36" t="n">
        <v>1.3</v>
      </c>
      <c r="H710" s="36" t="n">
        <f aca="false">F710*G710</f>
        <v>29.9</v>
      </c>
      <c r="I710" s="36" t="n">
        <f aca="false">INDEX(Inventory!$D$2:$D$17,MATCH(C710,Inventory!$A$2:$A$17,0))</f>
        <v>0.8</v>
      </c>
      <c r="J710" s="36" t="n">
        <f aca="false">F710*I710</f>
        <v>18.4</v>
      </c>
      <c r="K710" s="36" t="n">
        <f aca="false">H710-J710</f>
        <v>11.5</v>
      </c>
    </row>
    <row r="711" customFormat="false" ht="15" hidden="false" customHeight="false" outlineLevel="0" collapsed="false">
      <c r="A711" s="41" t="n">
        <v>46248</v>
      </c>
      <c r="B711" s="42" t="n">
        <f aca="false">DATE(YEAR(A711),MONTH(A711),1)</f>
        <v>46235</v>
      </c>
      <c r="C711" s="3" t="s">
        <v>63</v>
      </c>
      <c r="D711" s="3" t="s">
        <v>64</v>
      </c>
      <c r="E711" s="3" t="s">
        <v>28</v>
      </c>
      <c r="F711" s="3" t="n">
        <v>18</v>
      </c>
      <c r="G711" s="36" t="n">
        <v>0.9</v>
      </c>
      <c r="H711" s="36" t="n">
        <f aca="false">F711*G711</f>
        <v>16.2</v>
      </c>
      <c r="I711" s="36" t="n">
        <f aca="false">INDEX(Inventory!$D$2:$D$17,MATCH(C711,Inventory!$A$2:$A$17,0))</f>
        <v>0.5</v>
      </c>
      <c r="J711" s="36" t="n">
        <f aca="false">F711*I711</f>
        <v>9</v>
      </c>
      <c r="K711" s="36" t="n">
        <f aca="false">H711-J711</f>
        <v>7.2</v>
      </c>
    </row>
    <row r="712" customFormat="false" ht="15" hidden="false" customHeight="false" outlineLevel="0" collapsed="false">
      <c r="A712" s="41" t="n">
        <v>46248</v>
      </c>
      <c r="B712" s="42" t="n">
        <f aca="false">DATE(YEAR(A712),MONTH(A712),1)</f>
        <v>46235</v>
      </c>
      <c r="C712" s="3" t="s">
        <v>49</v>
      </c>
      <c r="D712" s="3" t="s">
        <v>50</v>
      </c>
      <c r="E712" s="3" t="s">
        <v>28</v>
      </c>
      <c r="F712" s="3" t="n">
        <v>17</v>
      </c>
      <c r="G712" s="36" t="n">
        <v>1.2</v>
      </c>
      <c r="H712" s="36" t="n">
        <f aca="false">F712*G712</f>
        <v>20.4</v>
      </c>
      <c r="I712" s="36" t="n">
        <f aca="false">INDEX(Inventory!$D$2:$D$17,MATCH(C712,Inventory!$A$2:$A$17,0))</f>
        <v>0.7</v>
      </c>
      <c r="J712" s="36" t="n">
        <f aca="false">F712*I712</f>
        <v>11.9</v>
      </c>
      <c r="K712" s="36" t="n">
        <f aca="false">H712-J712</f>
        <v>8.5</v>
      </c>
    </row>
    <row r="713" customFormat="false" ht="15" hidden="false" customHeight="false" outlineLevel="0" collapsed="false">
      <c r="A713" s="41" t="n">
        <v>46248</v>
      </c>
      <c r="B713" s="42" t="n">
        <f aca="false">DATE(YEAR(A713),MONTH(A713),1)</f>
        <v>46235</v>
      </c>
      <c r="C713" s="3" t="s">
        <v>51</v>
      </c>
      <c r="D713" s="3" t="s">
        <v>52</v>
      </c>
      <c r="E713" s="3" t="s">
        <v>28</v>
      </c>
      <c r="F713" s="3" t="n">
        <v>18</v>
      </c>
      <c r="G713" s="36" t="n">
        <v>0.85</v>
      </c>
      <c r="H713" s="36" t="n">
        <f aca="false">F713*G713</f>
        <v>15.3</v>
      </c>
      <c r="I713" s="36" t="n">
        <f aca="false">INDEX(Inventory!$D$2:$D$17,MATCH(C713,Inventory!$A$2:$A$17,0))</f>
        <v>0.45</v>
      </c>
      <c r="J713" s="36" t="n">
        <f aca="false">F713*I713</f>
        <v>8.1</v>
      </c>
      <c r="K713" s="36" t="n">
        <f aca="false">H713-J713</f>
        <v>7.2</v>
      </c>
    </row>
    <row r="714" customFormat="false" ht="15" hidden="false" customHeight="false" outlineLevel="0" collapsed="false">
      <c r="A714" s="41" t="n">
        <v>46248</v>
      </c>
      <c r="B714" s="42" t="n">
        <f aca="false">DATE(YEAR(A714),MONTH(A714),1)</f>
        <v>46235</v>
      </c>
      <c r="C714" s="3" t="s">
        <v>37</v>
      </c>
      <c r="D714" s="3" t="s">
        <v>38</v>
      </c>
      <c r="E714" s="3" t="s">
        <v>26</v>
      </c>
      <c r="F714" s="3" t="n">
        <v>35</v>
      </c>
      <c r="G714" s="36" t="n">
        <v>1.2</v>
      </c>
      <c r="H714" s="36" t="n">
        <f aca="false">F714*G714</f>
        <v>42</v>
      </c>
      <c r="I714" s="36" t="n">
        <f aca="false">INDEX(Inventory!$D$2:$D$17,MATCH(C714,Inventory!$A$2:$A$17,0))</f>
        <v>0.85</v>
      </c>
      <c r="J714" s="36" t="n">
        <f aca="false">F714*I714</f>
        <v>29.75</v>
      </c>
      <c r="K714" s="36" t="n">
        <f aca="false">H714-J714</f>
        <v>12.25</v>
      </c>
    </row>
    <row r="715" customFormat="false" ht="15" hidden="false" customHeight="false" outlineLevel="0" collapsed="false">
      <c r="A715" s="41" t="n">
        <v>46248</v>
      </c>
      <c r="B715" s="42" t="n">
        <f aca="false">DATE(YEAR(A715),MONTH(A715),1)</f>
        <v>46235</v>
      </c>
      <c r="C715" s="3" t="s">
        <v>47</v>
      </c>
      <c r="D715" s="3" t="s">
        <v>48</v>
      </c>
      <c r="E715" s="3" t="s">
        <v>26</v>
      </c>
      <c r="F715" s="3" t="n">
        <v>11</v>
      </c>
      <c r="G715" s="36" t="n">
        <v>2.2</v>
      </c>
      <c r="H715" s="36" t="n">
        <f aca="false">F715*G715</f>
        <v>24.2</v>
      </c>
      <c r="I715" s="36" t="n">
        <f aca="false">INDEX(Inventory!$D$2:$D$17,MATCH(C715,Inventory!$A$2:$A$17,0))</f>
        <v>1.4</v>
      </c>
      <c r="J715" s="36" t="n">
        <f aca="false">F715*I715</f>
        <v>15.4</v>
      </c>
      <c r="K715" s="36" t="n">
        <f aca="false">H715-J715</f>
        <v>8.8</v>
      </c>
    </row>
    <row r="716" customFormat="false" ht="15" hidden="false" customHeight="false" outlineLevel="0" collapsed="false">
      <c r="A716" s="41" t="n">
        <v>46248</v>
      </c>
      <c r="B716" s="42" t="n">
        <f aca="false">DATE(YEAR(A716),MONTH(A716),1)</f>
        <v>46235</v>
      </c>
      <c r="C716" s="3" t="s">
        <v>43</v>
      </c>
      <c r="D716" s="3" t="s">
        <v>44</v>
      </c>
      <c r="E716" s="3" t="s">
        <v>26</v>
      </c>
      <c r="F716" s="3" t="n">
        <v>8</v>
      </c>
      <c r="G716" s="36" t="n">
        <v>3.8</v>
      </c>
      <c r="H716" s="36" t="n">
        <f aca="false">F716*G716</f>
        <v>30.4</v>
      </c>
      <c r="I716" s="36" t="n">
        <f aca="false">INDEX(Inventory!$D$2:$D$17,MATCH(C716,Inventory!$A$2:$A$17,0))</f>
        <v>2.6</v>
      </c>
      <c r="J716" s="36" t="n">
        <f aca="false">F716*I716</f>
        <v>20.8</v>
      </c>
      <c r="K716" s="36" t="n">
        <f aca="false">H716-J716</f>
        <v>9.6</v>
      </c>
    </row>
    <row r="717" customFormat="false" ht="15" hidden="false" customHeight="false" outlineLevel="0" collapsed="false">
      <c r="A717" s="41" t="n">
        <v>46248</v>
      </c>
      <c r="B717" s="42" t="n">
        <f aca="false">DATE(YEAR(A717),MONTH(A717),1)</f>
        <v>46235</v>
      </c>
      <c r="C717" s="3" t="s">
        <v>67</v>
      </c>
      <c r="D717" s="3" t="s">
        <v>68</v>
      </c>
      <c r="E717" s="3" t="s">
        <v>26</v>
      </c>
      <c r="F717" s="3" t="n">
        <v>7</v>
      </c>
      <c r="G717" s="36" t="n">
        <v>1.9</v>
      </c>
      <c r="H717" s="36" t="n">
        <f aca="false">F717*G717</f>
        <v>13.3</v>
      </c>
      <c r="I717" s="36" t="n">
        <f aca="false">INDEX(Inventory!$D$2:$D$17,MATCH(C717,Inventory!$A$2:$A$17,0))</f>
        <v>1.3</v>
      </c>
      <c r="J717" s="36" t="n">
        <f aca="false">F717*I717</f>
        <v>9.1</v>
      </c>
      <c r="K717" s="36" t="n">
        <f aca="false">H717-J717</f>
        <v>4.2</v>
      </c>
    </row>
    <row r="718" customFormat="false" ht="15" hidden="false" customHeight="false" outlineLevel="0" collapsed="false">
      <c r="A718" s="41" t="n">
        <v>46248</v>
      </c>
      <c r="B718" s="42" t="n">
        <f aca="false">DATE(YEAR(A718),MONTH(A718),1)</f>
        <v>46235</v>
      </c>
      <c r="C718" s="3" t="s">
        <v>61</v>
      </c>
      <c r="D718" s="3" t="s">
        <v>62</v>
      </c>
      <c r="E718" s="3" t="s">
        <v>29</v>
      </c>
      <c r="F718" s="3" t="n">
        <v>13</v>
      </c>
      <c r="G718" s="36" t="n">
        <v>1.9</v>
      </c>
      <c r="H718" s="36" t="n">
        <f aca="false">F718*G718</f>
        <v>24.7</v>
      </c>
      <c r="I718" s="36" t="n">
        <f aca="false">INDEX(Inventory!$D$2:$D$17,MATCH(C718,Inventory!$A$2:$A$17,0))</f>
        <v>1.1</v>
      </c>
      <c r="J718" s="36" t="n">
        <f aca="false">F718*I718</f>
        <v>14.3</v>
      </c>
      <c r="K718" s="36" t="n">
        <f aca="false">H718-J718</f>
        <v>10.4</v>
      </c>
    </row>
    <row r="719" customFormat="false" ht="15" hidden="false" customHeight="false" outlineLevel="0" collapsed="false">
      <c r="A719" s="41" t="n">
        <v>46248</v>
      </c>
      <c r="B719" s="42" t="n">
        <f aca="false">DATE(YEAR(A719),MONTH(A719),1)</f>
        <v>46235</v>
      </c>
      <c r="C719" s="3" t="s">
        <v>45</v>
      </c>
      <c r="D719" s="3" t="s">
        <v>46</v>
      </c>
      <c r="E719" s="3" t="s">
        <v>29</v>
      </c>
      <c r="F719" s="3" t="n">
        <v>6</v>
      </c>
      <c r="G719" s="36" t="n">
        <v>5.2</v>
      </c>
      <c r="H719" s="36" t="n">
        <f aca="false">F719*G719</f>
        <v>31.2</v>
      </c>
      <c r="I719" s="36" t="n">
        <f aca="false">INDEX(Inventory!$D$2:$D$17,MATCH(C719,Inventory!$A$2:$A$17,0))</f>
        <v>3.5</v>
      </c>
      <c r="J719" s="36" t="n">
        <f aca="false">F719*I719</f>
        <v>21</v>
      </c>
      <c r="K719" s="36" t="n">
        <f aca="false">H719-J719</f>
        <v>10.2</v>
      </c>
    </row>
    <row r="720" customFormat="false" ht="15" hidden="false" customHeight="false" outlineLevel="0" collapsed="false">
      <c r="A720" s="41" t="n">
        <v>46248</v>
      </c>
      <c r="B720" s="42" t="n">
        <f aca="false">DATE(YEAR(A720),MONTH(A720),1)</f>
        <v>46235</v>
      </c>
      <c r="C720" s="3" t="s">
        <v>65</v>
      </c>
      <c r="D720" s="3" t="s">
        <v>66</v>
      </c>
      <c r="E720" s="3" t="s">
        <v>29</v>
      </c>
      <c r="F720" s="3" t="n">
        <v>9</v>
      </c>
      <c r="G720" s="36" t="n">
        <v>1.5</v>
      </c>
      <c r="H720" s="36" t="n">
        <f aca="false">F720*G720</f>
        <v>13.5</v>
      </c>
      <c r="I720" s="36" t="n">
        <f aca="false">INDEX(Inventory!$D$2:$D$17,MATCH(C720,Inventory!$A$2:$A$17,0))</f>
        <v>0.9</v>
      </c>
      <c r="J720" s="36" t="n">
        <f aca="false">F720*I720</f>
        <v>8.1</v>
      </c>
      <c r="K720" s="36" t="n">
        <f aca="false">H720-J720</f>
        <v>5.4</v>
      </c>
    </row>
    <row r="721" customFormat="false" ht="15" hidden="false" customHeight="false" outlineLevel="0" collapsed="false">
      <c r="A721" s="41" t="n">
        <v>46248</v>
      </c>
      <c r="B721" s="42" t="n">
        <f aca="false">DATE(YEAR(A721),MONTH(A721),1)</f>
        <v>46235</v>
      </c>
      <c r="C721" s="3" t="s">
        <v>55</v>
      </c>
      <c r="D721" s="3" t="s">
        <v>56</v>
      </c>
      <c r="E721" s="3" t="s">
        <v>29</v>
      </c>
      <c r="F721" s="3" t="n">
        <v>10</v>
      </c>
      <c r="G721" s="36" t="n">
        <v>2.5</v>
      </c>
      <c r="H721" s="36" t="n">
        <f aca="false">F721*G721</f>
        <v>25</v>
      </c>
      <c r="I721" s="36" t="n">
        <f aca="false">INDEX(Inventory!$D$2:$D$17,MATCH(C721,Inventory!$A$2:$A$17,0))</f>
        <v>1.6</v>
      </c>
      <c r="J721" s="36" t="n">
        <f aca="false">F721*I721</f>
        <v>16</v>
      </c>
      <c r="K721" s="36" t="n">
        <f aca="false">H721-J721</f>
        <v>9</v>
      </c>
    </row>
    <row r="722" customFormat="false" ht="15" hidden="false" customHeight="false" outlineLevel="0" collapsed="false">
      <c r="A722" s="41" t="n">
        <v>46249</v>
      </c>
      <c r="B722" s="42" t="n">
        <f aca="false">DATE(YEAR(A722),MONTH(A722),1)</f>
        <v>46235</v>
      </c>
      <c r="C722" s="3" t="s">
        <v>39</v>
      </c>
      <c r="D722" s="3" t="s">
        <v>40</v>
      </c>
      <c r="E722" s="3" t="s">
        <v>27</v>
      </c>
      <c r="F722" s="3" t="n">
        <v>50</v>
      </c>
      <c r="G722" s="36" t="n">
        <v>1</v>
      </c>
      <c r="H722" s="36" t="n">
        <f aca="false">F722*G722</f>
        <v>50</v>
      </c>
      <c r="I722" s="36" t="n">
        <f aca="false">INDEX(Inventory!$D$2:$D$17,MATCH(C722,Inventory!$A$2:$A$17,0))</f>
        <v>0.6</v>
      </c>
      <c r="J722" s="36" t="n">
        <f aca="false">F722*I722</f>
        <v>30</v>
      </c>
      <c r="K722" s="36" t="n">
        <f aca="false">H722-J722</f>
        <v>20</v>
      </c>
    </row>
    <row r="723" customFormat="false" ht="15" hidden="false" customHeight="false" outlineLevel="0" collapsed="false">
      <c r="A723" s="41" t="n">
        <v>46249</v>
      </c>
      <c r="B723" s="42" t="n">
        <f aca="false">DATE(YEAR(A723),MONTH(A723),1)</f>
        <v>46235</v>
      </c>
      <c r="C723" s="3" t="s">
        <v>53</v>
      </c>
      <c r="D723" s="3" t="s">
        <v>54</v>
      </c>
      <c r="E723" s="3" t="s">
        <v>27</v>
      </c>
      <c r="F723" s="3" t="n">
        <v>32</v>
      </c>
      <c r="G723" s="36" t="n">
        <v>0.95</v>
      </c>
      <c r="H723" s="36" t="n">
        <f aca="false">F723*G723</f>
        <v>30.4</v>
      </c>
      <c r="I723" s="36" t="n">
        <f aca="false">INDEX(Inventory!$D$2:$D$17,MATCH(C723,Inventory!$A$2:$A$17,0))</f>
        <v>0.55</v>
      </c>
      <c r="J723" s="36" t="n">
        <f aca="false">F723*I723</f>
        <v>17.6</v>
      </c>
      <c r="K723" s="36" t="n">
        <f aca="false">H723-J723</f>
        <v>12.8</v>
      </c>
    </row>
    <row r="724" customFormat="false" ht="15" hidden="false" customHeight="false" outlineLevel="0" collapsed="false">
      <c r="A724" s="41" t="n">
        <v>46249</v>
      </c>
      <c r="B724" s="42" t="n">
        <f aca="false">DATE(YEAR(A724),MONTH(A724),1)</f>
        <v>46235</v>
      </c>
      <c r="C724" s="3" t="s">
        <v>59</v>
      </c>
      <c r="D724" s="3" t="s">
        <v>60</v>
      </c>
      <c r="E724" s="3" t="s">
        <v>27</v>
      </c>
      <c r="F724" s="3" t="n">
        <v>47</v>
      </c>
      <c r="G724" s="36" t="n">
        <v>0.6</v>
      </c>
      <c r="H724" s="36" t="n">
        <f aca="false">F724*G724</f>
        <v>28.2</v>
      </c>
      <c r="I724" s="36" t="n">
        <f aca="false">INDEX(Inventory!$D$2:$D$17,MATCH(C724,Inventory!$A$2:$A$17,0))</f>
        <v>0.3</v>
      </c>
      <c r="J724" s="36" t="n">
        <f aca="false">F724*I724</f>
        <v>14.1</v>
      </c>
      <c r="K724" s="36" t="n">
        <f aca="false">H724-J724</f>
        <v>14.1</v>
      </c>
    </row>
    <row r="725" customFormat="false" ht="15" hidden="false" customHeight="false" outlineLevel="0" collapsed="false">
      <c r="A725" s="41" t="n">
        <v>46249</v>
      </c>
      <c r="B725" s="42" t="n">
        <f aca="false">DATE(YEAR(A725),MONTH(A725),1)</f>
        <v>46235</v>
      </c>
      <c r="C725" s="3" t="s">
        <v>57</v>
      </c>
      <c r="D725" s="3" t="s">
        <v>58</v>
      </c>
      <c r="E725" s="3" t="s">
        <v>27</v>
      </c>
      <c r="F725" s="3" t="n">
        <v>13</v>
      </c>
      <c r="G725" s="36" t="n">
        <v>1.5</v>
      </c>
      <c r="H725" s="36" t="n">
        <f aca="false">F725*G725</f>
        <v>19.5</v>
      </c>
      <c r="I725" s="36" t="n">
        <f aca="false">INDEX(Inventory!$D$2:$D$17,MATCH(C725,Inventory!$A$2:$A$17,0))</f>
        <v>0.9</v>
      </c>
      <c r="J725" s="36" t="n">
        <f aca="false">F725*I725</f>
        <v>11.7</v>
      </c>
      <c r="K725" s="36" t="n">
        <f aca="false">H725-J725</f>
        <v>7.8</v>
      </c>
    </row>
    <row r="726" customFormat="false" ht="15" hidden="false" customHeight="false" outlineLevel="0" collapsed="false">
      <c r="A726" s="41" t="n">
        <v>46249</v>
      </c>
      <c r="B726" s="42" t="n">
        <f aca="false">DATE(YEAR(A726),MONTH(A726),1)</f>
        <v>46235</v>
      </c>
      <c r="C726" s="3" t="s">
        <v>41</v>
      </c>
      <c r="D726" s="3" t="s">
        <v>42</v>
      </c>
      <c r="E726" s="3" t="s">
        <v>28</v>
      </c>
      <c r="F726" s="3" t="n">
        <v>47</v>
      </c>
      <c r="G726" s="36" t="n">
        <v>1.3</v>
      </c>
      <c r="H726" s="36" t="n">
        <f aca="false">F726*G726</f>
        <v>61.1</v>
      </c>
      <c r="I726" s="36" t="n">
        <f aca="false">INDEX(Inventory!$D$2:$D$17,MATCH(C726,Inventory!$A$2:$A$17,0))</f>
        <v>0.8</v>
      </c>
      <c r="J726" s="36" t="n">
        <f aca="false">F726*I726</f>
        <v>37.6</v>
      </c>
      <c r="K726" s="36" t="n">
        <f aca="false">H726-J726</f>
        <v>23.5</v>
      </c>
    </row>
    <row r="727" customFormat="false" ht="15" hidden="false" customHeight="false" outlineLevel="0" collapsed="false">
      <c r="A727" s="41" t="n">
        <v>46249</v>
      </c>
      <c r="B727" s="42" t="n">
        <f aca="false">DATE(YEAR(A727),MONTH(A727),1)</f>
        <v>46235</v>
      </c>
      <c r="C727" s="3" t="s">
        <v>63</v>
      </c>
      <c r="D727" s="3" t="s">
        <v>64</v>
      </c>
      <c r="E727" s="3" t="s">
        <v>28</v>
      </c>
      <c r="F727" s="3" t="n">
        <v>15</v>
      </c>
      <c r="G727" s="36" t="n">
        <v>0.9</v>
      </c>
      <c r="H727" s="36" t="n">
        <f aca="false">F727*G727</f>
        <v>13.5</v>
      </c>
      <c r="I727" s="36" t="n">
        <f aca="false">INDEX(Inventory!$D$2:$D$17,MATCH(C727,Inventory!$A$2:$A$17,0))</f>
        <v>0.5</v>
      </c>
      <c r="J727" s="36" t="n">
        <f aca="false">F727*I727</f>
        <v>7.5</v>
      </c>
      <c r="K727" s="36" t="n">
        <f aca="false">H727-J727</f>
        <v>6</v>
      </c>
    </row>
    <row r="728" customFormat="false" ht="15" hidden="false" customHeight="false" outlineLevel="0" collapsed="false">
      <c r="A728" s="41" t="n">
        <v>46249</v>
      </c>
      <c r="B728" s="42" t="n">
        <f aca="false">DATE(YEAR(A728),MONTH(A728),1)</f>
        <v>46235</v>
      </c>
      <c r="C728" s="3" t="s">
        <v>49</v>
      </c>
      <c r="D728" s="3" t="s">
        <v>50</v>
      </c>
      <c r="E728" s="3" t="s">
        <v>28</v>
      </c>
      <c r="F728" s="3" t="n">
        <v>21</v>
      </c>
      <c r="G728" s="36" t="n">
        <v>1.2</v>
      </c>
      <c r="H728" s="36" t="n">
        <f aca="false">F728*G728</f>
        <v>25.2</v>
      </c>
      <c r="I728" s="36" t="n">
        <f aca="false">INDEX(Inventory!$D$2:$D$17,MATCH(C728,Inventory!$A$2:$A$17,0))</f>
        <v>0.7</v>
      </c>
      <c r="J728" s="36" t="n">
        <f aca="false">F728*I728</f>
        <v>14.7</v>
      </c>
      <c r="K728" s="36" t="n">
        <f aca="false">H728-J728</f>
        <v>10.5</v>
      </c>
    </row>
    <row r="729" customFormat="false" ht="15" hidden="false" customHeight="false" outlineLevel="0" collapsed="false">
      <c r="A729" s="41" t="n">
        <v>46249</v>
      </c>
      <c r="B729" s="42" t="n">
        <f aca="false">DATE(YEAR(A729),MONTH(A729),1)</f>
        <v>46235</v>
      </c>
      <c r="C729" s="3" t="s">
        <v>51</v>
      </c>
      <c r="D729" s="3" t="s">
        <v>52</v>
      </c>
      <c r="E729" s="3" t="s">
        <v>28</v>
      </c>
      <c r="F729" s="3" t="n">
        <v>27</v>
      </c>
      <c r="G729" s="36" t="n">
        <v>0.85</v>
      </c>
      <c r="H729" s="36" t="n">
        <f aca="false">F729*G729</f>
        <v>22.95</v>
      </c>
      <c r="I729" s="36" t="n">
        <f aca="false">INDEX(Inventory!$D$2:$D$17,MATCH(C729,Inventory!$A$2:$A$17,0))</f>
        <v>0.45</v>
      </c>
      <c r="J729" s="36" t="n">
        <f aca="false">F729*I729</f>
        <v>12.15</v>
      </c>
      <c r="K729" s="36" t="n">
        <f aca="false">H729-J729</f>
        <v>10.8</v>
      </c>
    </row>
    <row r="730" customFormat="false" ht="15" hidden="false" customHeight="false" outlineLevel="0" collapsed="false">
      <c r="A730" s="41" t="n">
        <v>46249</v>
      </c>
      <c r="B730" s="42" t="n">
        <f aca="false">DATE(YEAR(A730),MONTH(A730),1)</f>
        <v>46235</v>
      </c>
      <c r="C730" s="3" t="s">
        <v>37</v>
      </c>
      <c r="D730" s="3" t="s">
        <v>38</v>
      </c>
      <c r="E730" s="3" t="s">
        <v>26</v>
      </c>
      <c r="F730" s="3" t="n">
        <v>43</v>
      </c>
      <c r="G730" s="36" t="n">
        <v>1.2</v>
      </c>
      <c r="H730" s="36" t="n">
        <f aca="false">F730*G730</f>
        <v>51.6</v>
      </c>
      <c r="I730" s="36" t="n">
        <f aca="false">INDEX(Inventory!$D$2:$D$17,MATCH(C730,Inventory!$A$2:$A$17,0))</f>
        <v>0.85</v>
      </c>
      <c r="J730" s="36" t="n">
        <f aca="false">F730*I730</f>
        <v>36.55</v>
      </c>
      <c r="K730" s="36" t="n">
        <f aca="false">H730-J730</f>
        <v>15.05</v>
      </c>
    </row>
    <row r="731" customFormat="false" ht="15" hidden="false" customHeight="false" outlineLevel="0" collapsed="false">
      <c r="A731" s="41" t="n">
        <v>46249</v>
      </c>
      <c r="B731" s="42" t="n">
        <f aca="false">DATE(YEAR(A731),MONTH(A731),1)</f>
        <v>46235</v>
      </c>
      <c r="C731" s="3" t="s">
        <v>47</v>
      </c>
      <c r="D731" s="3" t="s">
        <v>48</v>
      </c>
      <c r="E731" s="3" t="s">
        <v>26</v>
      </c>
      <c r="F731" s="3" t="n">
        <v>15</v>
      </c>
      <c r="G731" s="36" t="n">
        <v>2.2</v>
      </c>
      <c r="H731" s="36" t="n">
        <f aca="false">F731*G731</f>
        <v>33</v>
      </c>
      <c r="I731" s="36" t="n">
        <f aca="false">INDEX(Inventory!$D$2:$D$17,MATCH(C731,Inventory!$A$2:$A$17,0))</f>
        <v>1.4</v>
      </c>
      <c r="J731" s="36" t="n">
        <f aca="false">F731*I731</f>
        <v>21</v>
      </c>
      <c r="K731" s="36" t="n">
        <f aca="false">H731-J731</f>
        <v>12</v>
      </c>
    </row>
    <row r="732" customFormat="false" ht="15" hidden="false" customHeight="false" outlineLevel="0" collapsed="false">
      <c r="A732" s="41" t="n">
        <v>46249</v>
      </c>
      <c r="B732" s="42" t="n">
        <f aca="false">DATE(YEAR(A732),MONTH(A732),1)</f>
        <v>46235</v>
      </c>
      <c r="C732" s="3" t="s">
        <v>43</v>
      </c>
      <c r="D732" s="3" t="s">
        <v>44</v>
      </c>
      <c r="E732" s="3" t="s">
        <v>26</v>
      </c>
      <c r="F732" s="3" t="n">
        <v>7</v>
      </c>
      <c r="G732" s="36" t="n">
        <v>3.8</v>
      </c>
      <c r="H732" s="36" t="n">
        <f aca="false">F732*G732</f>
        <v>26.6</v>
      </c>
      <c r="I732" s="36" t="n">
        <f aca="false">INDEX(Inventory!$D$2:$D$17,MATCH(C732,Inventory!$A$2:$A$17,0))</f>
        <v>2.6</v>
      </c>
      <c r="J732" s="36" t="n">
        <f aca="false">F732*I732</f>
        <v>18.2</v>
      </c>
      <c r="K732" s="36" t="n">
        <f aca="false">H732-J732</f>
        <v>8.4</v>
      </c>
    </row>
    <row r="733" customFormat="false" ht="15" hidden="false" customHeight="false" outlineLevel="0" collapsed="false">
      <c r="A733" s="41" t="n">
        <v>46249</v>
      </c>
      <c r="B733" s="42" t="n">
        <f aca="false">DATE(YEAR(A733),MONTH(A733),1)</f>
        <v>46235</v>
      </c>
      <c r="C733" s="3" t="s">
        <v>67</v>
      </c>
      <c r="D733" s="3" t="s">
        <v>68</v>
      </c>
      <c r="E733" s="3" t="s">
        <v>26</v>
      </c>
      <c r="F733" s="3" t="n">
        <v>9</v>
      </c>
      <c r="G733" s="36" t="n">
        <v>1.9</v>
      </c>
      <c r="H733" s="36" t="n">
        <f aca="false">F733*G733</f>
        <v>17.1</v>
      </c>
      <c r="I733" s="36" t="n">
        <f aca="false">INDEX(Inventory!$D$2:$D$17,MATCH(C733,Inventory!$A$2:$A$17,0))</f>
        <v>1.3</v>
      </c>
      <c r="J733" s="36" t="n">
        <f aca="false">F733*I733</f>
        <v>11.7</v>
      </c>
      <c r="K733" s="36" t="n">
        <f aca="false">H733-J733</f>
        <v>5.4</v>
      </c>
    </row>
    <row r="734" customFormat="false" ht="15" hidden="false" customHeight="false" outlineLevel="0" collapsed="false">
      <c r="A734" s="41" t="n">
        <v>46249</v>
      </c>
      <c r="B734" s="42" t="n">
        <f aca="false">DATE(YEAR(A734),MONTH(A734),1)</f>
        <v>46235</v>
      </c>
      <c r="C734" s="3" t="s">
        <v>61</v>
      </c>
      <c r="D734" s="3" t="s">
        <v>62</v>
      </c>
      <c r="E734" s="3" t="s">
        <v>29</v>
      </c>
      <c r="F734" s="3" t="n">
        <v>14</v>
      </c>
      <c r="G734" s="36" t="n">
        <v>1.9</v>
      </c>
      <c r="H734" s="36" t="n">
        <f aca="false">F734*G734</f>
        <v>26.6</v>
      </c>
      <c r="I734" s="36" t="n">
        <f aca="false">INDEX(Inventory!$D$2:$D$17,MATCH(C734,Inventory!$A$2:$A$17,0))</f>
        <v>1.1</v>
      </c>
      <c r="J734" s="36" t="n">
        <f aca="false">F734*I734</f>
        <v>15.4</v>
      </c>
      <c r="K734" s="36" t="n">
        <f aca="false">H734-J734</f>
        <v>11.2</v>
      </c>
    </row>
    <row r="735" customFormat="false" ht="15" hidden="false" customHeight="false" outlineLevel="0" collapsed="false">
      <c r="A735" s="41" t="n">
        <v>46249</v>
      </c>
      <c r="B735" s="42" t="n">
        <f aca="false">DATE(YEAR(A735),MONTH(A735),1)</f>
        <v>46235</v>
      </c>
      <c r="C735" s="3" t="s">
        <v>45</v>
      </c>
      <c r="D735" s="3" t="s">
        <v>46</v>
      </c>
      <c r="E735" s="3" t="s">
        <v>29</v>
      </c>
      <c r="F735" s="3" t="n">
        <v>7</v>
      </c>
      <c r="G735" s="36" t="n">
        <v>5.2</v>
      </c>
      <c r="H735" s="36" t="n">
        <f aca="false">F735*G735</f>
        <v>36.4</v>
      </c>
      <c r="I735" s="36" t="n">
        <f aca="false">INDEX(Inventory!$D$2:$D$17,MATCH(C735,Inventory!$A$2:$A$17,0))</f>
        <v>3.5</v>
      </c>
      <c r="J735" s="36" t="n">
        <f aca="false">F735*I735</f>
        <v>24.5</v>
      </c>
      <c r="K735" s="36" t="n">
        <f aca="false">H735-J735</f>
        <v>11.9</v>
      </c>
    </row>
    <row r="736" customFormat="false" ht="15" hidden="false" customHeight="false" outlineLevel="0" collapsed="false">
      <c r="A736" s="41" t="n">
        <v>46249</v>
      </c>
      <c r="B736" s="42" t="n">
        <f aca="false">DATE(YEAR(A736),MONTH(A736),1)</f>
        <v>46235</v>
      </c>
      <c r="C736" s="3" t="s">
        <v>65</v>
      </c>
      <c r="D736" s="3" t="s">
        <v>66</v>
      </c>
      <c r="E736" s="3" t="s">
        <v>29</v>
      </c>
      <c r="F736" s="3" t="n">
        <v>9</v>
      </c>
      <c r="G736" s="36" t="n">
        <v>1.5</v>
      </c>
      <c r="H736" s="36" t="n">
        <f aca="false">F736*G736</f>
        <v>13.5</v>
      </c>
      <c r="I736" s="36" t="n">
        <f aca="false">INDEX(Inventory!$D$2:$D$17,MATCH(C736,Inventory!$A$2:$A$17,0))</f>
        <v>0.9</v>
      </c>
      <c r="J736" s="36" t="n">
        <f aca="false">F736*I736</f>
        <v>8.1</v>
      </c>
      <c r="K736" s="36" t="n">
        <f aca="false">H736-J736</f>
        <v>5.4</v>
      </c>
    </row>
    <row r="737" customFormat="false" ht="15" hidden="false" customHeight="false" outlineLevel="0" collapsed="false">
      <c r="A737" s="41" t="n">
        <v>46249</v>
      </c>
      <c r="B737" s="42" t="n">
        <f aca="false">DATE(YEAR(A737),MONTH(A737),1)</f>
        <v>46235</v>
      </c>
      <c r="C737" s="3" t="s">
        <v>55</v>
      </c>
      <c r="D737" s="3" t="s">
        <v>56</v>
      </c>
      <c r="E737" s="3" t="s">
        <v>29</v>
      </c>
      <c r="F737" s="3" t="n">
        <v>9</v>
      </c>
      <c r="G737" s="36" t="n">
        <v>2.5</v>
      </c>
      <c r="H737" s="36" t="n">
        <f aca="false">F737*G737</f>
        <v>22.5</v>
      </c>
      <c r="I737" s="36" t="n">
        <f aca="false">INDEX(Inventory!$D$2:$D$17,MATCH(C737,Inventory!$A$2:$A$17,0))</f>
        <v>1.6</v>
      </c>
      <c r="J737" s="36" t="n">
        <f aca="false">F737*I737</f>
        <v>14.4</v>
      </c>
      <c r="K737" s="36" t="n">
        <f aca="false">H737-J737</f>
        <v>8.1</v>
      </c>
    </row>
    <row r="738" customFormat="false" ht="15" hidden="false" customHeight="false" outlineLevel="0" collapsed="false">
      <c r="A738" s="41" t="n">
        <v>46250</v>
      </c>
      <c r="B738" s="42" t="n">
        <f aca="false">DATE(YEAR(A738),MONTH(A738),1)</f>
        <v>46235</v>
      </c>
      <c r="C738" s="3" t="s">
        <v>39</v>
      </c>
      <c r="D738" s="3" t="s">
        <v>40</v>
      </c>
      <c r="E738" s="3" t="s">
        <v>27</v>
      </c>
      <c r="F738" s="3" t="n">
        <v>32</v>
      </c>
      <c r="G738" s="36" t="n">
        <v>1</v>
      </c>
      <c r="H738" s="36" t="n">
        <f aca="false">F738*G738</f>
        <v>32</v>
      </c>
      <c r="I738" s="36" t="n">
        <f aca="false">INDEX(Inventory!$D$2:$D$17,MATCH(C738,Inventory!$A$2:$A$17,0))</f>
        <v>0.6</v>
      </c>
      <c r="J738" s="36" t="n">
        <f aca="false">F738*I738</f>
        <v>19.2</v>
      </c>
      <c r="K738" s="36" t="n">
        <f aca="false">H738-J738</f>
        <v>12.8</v>
      </c>
    </row>
    <row r="739" customFormat="false" ht="15" hidden="false" customHeight="false" outlineLevel="0" collapsed="false">
      <c r="A739" s="41" t="n">
        <v>46250</v>
      </c>
      <c r="B739" s="42" t="n">
        <f aca="false">DATE(YEAR(A739),MONTH(A739),1)</f>
        <v>46235</v>
      </c>
      <c r="C739" s="3" t="s">
        <v>53</v>
      </c>
      <c r="D739" s="3" t="s">
        <v>54</v>
      </c>
      <c r="E739" s="3" t="s">
        <v>27</v>
      </c>
      <c r="F739" s="3" t="n">
        <v>24</v>
      </c>
      <c r="G739" s="36" t="n">
        <v>0.95</v>
      </c>
      <c r="H739" s="36" t="n">
        <f aca="false">F739*G739</f>
        <v>22.8</v>
      </c>
      <c r="I739" s="36" t="n">
        <f aca="false">INDEX(Inventory!$D$2:$D$17,MATCH(C739,Inventory!$A$2:$A$17,0))</f>
        <v>0.55</v>
      </c>
      <c r="J739" s="36" t="n">
        <f aca="false">F739*I739</f>
        <v>13.2</v>
      </c>
      <c r="K739" s="36" t="n">
        <f aca="false">H739-J739</f>
        <v>9.6</v>
      </c>
    </row>
    <row r="740" customFormat="false" ht="15" hidden="false" customHeight="false" outlineLevel="0" collapsed="false">
      <c r="A740" s="41" t="n">
        <v>46250</v>
      </c>
      <c r="B740" s="42" t="n">
        <f aca="false">DATE(YEAR(A740),MONTH(A740),1)</f>
        <v>46235</v>
      </c>
      <c r="C740" s="3" t="s">
        <v>59</v>
      </c>
      <c r="D740" s="3" t="s">
        <v>60</v>
      </c>
      <c r="E740" s="3" t="s">
        <v>27</v>
      </c>
      <c r="F740" s="3" t="n">
        <v>37</v>
      </c>
      <c r="G740" s="36" t="n">
        <v>0.6</v>
      </c>
      <c r="H740" s="36" t="n">
        <f aca="false">F740*G740</f>
        <v>22.2</v>
      </c>
      <c r="I740" s="36" t="n">
        <f aca="false">INDEX(Inventory!$D$2:$D$17,MATCH(C740,Inventory!$A$2:$A$17,0))</f>
        <v>0.3</v>
      </c>
      <c r="J740" s="36" t="n">
        <f aca="false">F740*I740</f>
        <v>11.1</v>
      </c>
      <c r="K740" s="36" t="n">
        <f aca="false">H740-J740</f>
        <v>11.1</v>
      </c>
    </row>
    <row r="741" customFormat="false" ht="15" hidden="false" customHeight="false" outlineLevel="0" collapsed="false">
      <c r="A741" s="41" t="n">
        <v>46250</v>
      </c>
      <c r="B741" s="42" t="n">
        <f aca="false">DATE(YEAR(A741),MONTH(A741),1)</f>
        <v>46235</v>
      </c>
      <c r="C741" s="3" t="s">
        <v>57</v>
      </c>
      <c r="D741" s="3" t="s">
        <v>58</v>
      </c>
      <c r="E741" s="3" t="s">
        <v>27</v>
      </c>
      <c r="F741" s="3" t="n">
        <v>18</v>
      </c>
      <c r="G741" s="36" t="n">
        <v>1.5</v>
      </c>
      <c r="H741" s="36" t="n">
        <f aca="false">F741*G741</f>
        <v>27</v>
      </c>
      <c r="I741" s="36" t="n">
        <f aca="false">INDEX(Inventory!$D$2:$D$17,MATCH(C741,Inventory!$A$2:$A$17,0))</f>
        <v>0.9</v>
      </c>
      <c r="J741" s="36" t="n">
        <f aca="false">F741*I741</f>
        <v>16.2</v>
      </c>
      <c r="K741" s="36" t="n">
        <f aca="false">H741-J741</f>
        <v>10.8</v>
      </c>
    </row>
    <row r="742" customFormat="false" ht="15" hidden="false" customHeight="false" outlineLevel="0" collapsed="false">
      <c r="A742" s="41" t="n">
        <v>46250</v>
      </c>
      <c r="B742" s="42" t="n">
        <f aca="false">DATE(YEAR(A742),MONTH(A742),1)</f>
        <v>46235</v>
      </c>
      <c r="C742" s="3" t="s">
        <v>41</v>
      </c>
      <c r="D742" s="3" t="s">
        <v>42</v>
      </c>
      <c r="E742" s="3" t="s">
        <v>28</v>
      </c>
      <c r="F742" s="3" t="n">
        <v>22</v>
      </c>
      <c r="G742" s="36" t="n">
        <v>1.3</v>
      </c>
      <c r="H742" s="36" t="n">
        <f aca="false">F742*G742</f>
        <v>28.6</v>
      </c>
      <c r="I742" s="36" t="n">
        <f aca="false">INDEX(Inventory!$D$2:$D$17,MATCH(C742,Inventory!$A$2:$A$17,0))</f>
        <v>0.8</v>
      </c>
      <c r="J742" s="36" t="n">
        <f aca="false">F742*I742</f>
        <v>17.6</v>
      </c>
      <c r="K742" s="36" t="n">
        <f aca="false">H742-J742</f>
        <v>11</v>
      </c>
    </row>
    <row r="743" customFormat="false" ht="15" hidden="false" customHeight="false" outlineLevel="0" collapsed="false">
      <c r="A743" s="41" t="n">
        <v>46250</v>
      </c>
      <c r="B743" s="42" t="n">
        <f aca="false">DATE(YEAR(A743),MONTH(A743),1)</f>
        <v>46235</v>
      </c>
      <c r="C743" s="3" t="s">
        <v>63</v>
      </c>
      <c r="D743" s="3" t="s">
        <v>64</v>
      </c>
      <c r="E743" s="3" t="s">
        <v>28</v>
      </c>
      <c r="F743" s="3" t="n">
        <v>13</v>
      </c>
      <c r="G743" s="36" t="n">
        <v>0.9</v>
      </c>
      <c r="H743" s="36" t="n">
        <f aca="false">F743*G743</f>
        <v>11.7</v>
      </c>
      <c r="I743" s="36" t="n">
        <f aca="false">INDEX(Inventory!$D$2:$D$17,MATCH(C743,Inventory!$A$2:$A$17,0))</f>
        <v>0.5</v>
      </c>
      <c r="J743" s="36" t="n">
        <f aca="false">F743*I743</f>
        <v>6.5</v>
      </c>
      <c r="K743" s="36" t="n">
        <f aca="false">H743-J743</f>
        <v>5.2</v>
      </c>
    </row>
    <row r="744" customFormat="false" ht="15" hidden="false" customHeight="false" outlineLevel="0" collapsed="false">
      <c r="A744" s="41" t="n">
        <v>46250</v>
      </c>
      <c r="B744" s="42" t="n">
        <f aca="false">DATE(YEAR(A744),MONTH(A744),1)</f>
        <v>46235</v>
      </c>
      <c r="C744" s="3" t="s">
        <v>49</v>
      </c>
      <c r="D744" s="3" t="s">
        <v>50</v>
      </c>
      <c r="E744" s="3" t="s">
        <v>28</v>
      </c>
      <c r="F744" s="3" t="n">
        <v>19</v>
      </c>
      <c r="G744" s="36" t="n">
        <v>1.2</v>
      </c>
      <c r="H744" s="36" t="n">
        <f aca="false">F744*G744</f>
        <v>22.8</v>
      </c>
      <c r="I744" s="36" t="n">
        <f aca="false">INDEX(Inventory!$D$2:$D$17,MATCH(C744,Inventory!$A$2:$A$17,0))</f>
        <v>0.7</v>
      </c>
      <c r="J744" s="36" t="n">
        <f aca="false">F744*I744</f>
        <v>13.3</v>
      </c>
      <c r="K744" s="36" t="n">
        <f aca="false">H744-J744</f>
        <v>9.5</v>
      </c>
    </row>
    <row r="745" customFormat="false" ht="15" hidden="false" customHeight="false" outlineLevel="0" collapsed="false">
      <c r="A745" s="41" t="n">
        <v>46250</v>
      </c>
      <c r="B745" s="42" t="n">
        <f aca="false">DATE(YEAR(A745),MONTH(A745),1)</f>
        <v>46235</v>
      </c>
      <c r="C745" s="3" t="s">
        <v>51</v>
      </c>
      <c r="D745" s="3" t="s">
        <v>52</v>
      </c>
      <c r="E745" s="3" t="s">
        <v>28</v>
      </c>
      <c r="F745" s="3" t="n">
        <v>37</v>
      </c>
      <c r="G745" s="36" t="n">
        <v>0.85</v>
      </c>
      <c r="H745" s="36" t="n">
        <f aca="false">F745*G745</f>
        <v>31.45</v>
      </c>
      <c r="I745" s="36" t="n">
        <f aca="false">INDEX(Inventory!$D$2:$D$17,MATCH(C745,Inventory!$A$2:$A$17,0))</f>
        <v>0.45</v>
      </c>
      <c r="J745" s="36" t="n">
        <f aca="false">F745*I745</f>
        <v>16.65</v>
      </c>
      <c r="K745" s="36" t="n">
        <f aca="false">H745-J745</f>
        <v>14.8</v>
      </c>
    </row>
    <row r="746" customFormat="false" ht="15" hidden="false" customHeight="false" outlineLevel="0" collapsed="false">
      <c r="A746" s="41" t="n">
        <v>46250</v>
      </c>
      <c r="B746" s="42" t="n">
        <f aca="false">DATE(YEAR(A746),MONTH(A746),1)</f>
        <v>46235</v>
      </c>
      <c r="C746" s="3" t="s">
        <v>37</v>
      </c>
      <c r="D746" s="3" t="s">
        <v>38</v>
      </c>
      <c r="E746" s="3" t="s">
        <v>26</v>
      </c>
      <c r="F746" s="3" t="n">
        <v>29</v>
      </c>
      <c r="G746" s="36" t="n">
        <v>1.2</v>
      </c>
      <c r="H746" s="36" t="n">
        <f aca="false">F746*G746</f>
        <v>34.8</v>
      </c>
      <c r="I746" s="36" t="n">
        <f aca="false">INDEX(Inventory!$D$2:$D$17,MATCH(C746,Inventory!$A$2:$A$17,0))</f>
        <v>0.85</v>
      </c>
      <c r="J746" s="36" t="n">
        <f aca="false">F746*I746</f>
        <v>24.65</v>
      </c>
      <c r="K746" s="36" t="n">
        <f aca="false">H746-J746</f>
        <v>10.15</v>
      </c>
    </row>
    <row r="747" customFormat="false" ht="15" hidden="false" customHeight="false" outlineLevel="0" collapsed="false">
      <c r="A747" s="41" t="n">
        <v>46250</v>
      </c>
      <c r="B747" s="42" t="n">
        <f aca="false">DATE(YEAR(A747),MONTH(A747),1)</f>
        <v>46235</v>
      </c>
      <c r="C747" s="3" t="s">
        <v>47</v>
      </c>
      <c r="D747" s="3" t="s">
        <v>48</v>
      </c>
      <c r="E747" s="3" t="s">
        <v>26</v>
      </c>
      <c r="F747" s="3" t="n">
        <v>19</v>
      </c>
      <c r="G747" s="36" t="n">
        <v>2.2</v>
      </c>
      <c r="H747" s="36" t="n">
        <f aca="false">F747*G747</f>
        <v>41.8</v>
      </c>
      <c r="I747" s="36" t="n">
        <f aca="false">INDEX(Inventory!$D$2:$D$17,MATCH(C747,Inventory!$A$2:$A$17,0))</f>
        <v>1.4</v>
      </c>
      <c r="J747" s="36" t="n">
        <f aca="false">F747*I747</f>
        <v>26.6</v>
      </c>
      <c r="K747" s="36" t="n">
        <f aca="false">H747-J747</f>
        <v>15.2</v>
      </c>
    </row>
    <row r="748" customFormat="false" ht="15" hidden="false" customHeight="false" outlineLevel="0" collapsed="false">
      <c r="A748" s="41" t="n">
        <v>46250</v>
      </c>
      <c r="B748" s="42" t="n">
        <f aca="false">DATE(YEAR(A748),MONTH(A748),1)</f>
        <v>46235</v>
      </c>
      <c r="C748" s="3" t="s">
        <v>43</v>
      </c>
      <c r="D748" s="3" t="s">
        <v>44</v>
      </c>
      <c r="E748" s="3" t="s">
        <v>26</v>
      </c>
      <c r="F748" s="3" t="n">
        <v>10</v>
      </c>
      <c r="G748" s="36" t="n">
        <v>3.8</v>
      </c>
      <c r="H748" s="36" t="n">
        <f aca="false">F748*G748</f>
        <v>38</v>
      </c>
      <c r="I748" s="36" t="n">
        <f aca="false">INDEX(Inventory!$D$2:$D$17,MATCH(C748,Inventory!$A$2:$A$17,0))</f>
        <v>2.6</v>
      </c>
      <c r="J748" s="36" t="n">
        <f aca="false">F748*I748</f>
        <v>26</v>
      </c>
      <c r="K748" s="36" t="n">
        <f aca="false">H748-J748</f>
        <v>12</v>
      </c>
    </row>
    <row r="749" customFormat="false" ht="15" hidden="false" customHeight="false" outlineLevel="0" collapsed="false">
      <c r="A749" s="41" t="n">
        <v>46250</v>
      </c>
      <c r="B749" s="42" t="n">
        <f aca="false">DATE(YEAR(A749),MONTH(A749),1)</f>
        <v>46235</v>
      </c>
      <c r="C749" s="3" t="s">
        <v>67</v>
      </c>
      <c r="D749" s="3" t="s">
        <v>68</v>
      </c>
      <c r="E749" s="3" t="s">
        <v>26</v>
      </c>
      <c r="F749" s="3" t="n">
        <v>6</v>
      </c>
      <c r="G749" s="36" t="n">
        <v>1.9</v>
      </c>
      <c r="H749" s="36" t="n">
        <f aca="false">F749*G749</f>
        <v>11.4</v>
      </c>
      <c r="I749" s="36" t="n">
        <f aca="false">INDEX(Inventory!$D$2:$D$17,MATCH(C749,Inventory!$A$2:$A$17,0))</f>
        <v>1.3</v>
      </c>
      <c r="J749" s="36" t="n">
        <f aca="false">F749*I749</f>
        <v>7.8</v>
      </c>
      <c r="K749" s="36" t="n">
        <f aca="false">H749-J749</f>
        <v>3.6</v>
      </c>
    </row>
    <row r="750" customFormat="false" ht="15" hidden="false" customHeight="false" outlineLevel="0" collapsed="false">
      <c r="A750" s="41" t="n">
        <v>46250</v>
      </c>
      <c r="B750" s="42" t="n">
        <f aca="false">DATE(YEAR(A750),MONTH(A750),1)</f>
        <v>46235</v>
      </c>
      <c r="C750" s="3" t="s">
        <v>61</v>
      </c>
      <c r="D750" s="3" t="s">
        <v>62</v>
      </c>
      <c r="E750" s="3" t="s">
        <v>29</v>
      </c>
      <c r="F750" s="3" t="n">
        <v>10</v>
      </c>
      <c r="G750" s="36" t="n">
        <v>1.9</v>
      </c>
      <c r="H750" s="36" t="n">
        <f aca="false">F750*G750</f>
        <v>19</v>
      </c>
      <c r="I750" s="36" t="n">
        <f aca="false">INDEX(Inventory!$D$2:$D$17,MATCH(C750,Inventory!$A$2:$A$17,0))</f>
        <v>1.1</v>
      </c>
      <c r="J750" s="36" t="n">
        <f aca="false">F750*I750</f>
        <v>11</v>
      </c>
      <c r="K750" s="36" t="n">
        <f aca="false">H750-J750</f>
        <v>8</v>
      </c>
    </row>
    <row r="751" customFormat="false" ht="15" hidden="false" customHeight="false" outlineLevel="0" collapsed="false">
      <c r="A751" s="41" t="n">
        <v>46250</v>
      </c>
      <c r="B751" s="42" t="n">
        <f aca="false">DATE(YEAR(A751),MONTH(A751),1)</f>
        <v>46235</v>
      </c>
      <c r="C751" s="3" t="s">
        <v>45</v>
      </c>
      <c r="D751" s="3" t="s">
        <v>46</v>
      </c>
      <c r="E751" s="3" t="s">
        <v>29</v>
      </c>
      <c r="F751" s="3" t="n">
        <v>7</v>
      </c>
      <c r="G751" s="36" t="n">
        <v>5.2</v>
      </c>
      <c r="H751" s="36" t="n">
        <f aca="false">F751*G751</f>
        <v>36.4</v>
      </c>
      <c r="I751" s="36" t="n">
        <f aca="false">INDEX(Inventory!$D$2:$D$17,MATCH(C751,Inventory!$A$2:$A$17,0))</f>
        <v>3.5</v>
      </c>
      <c r="J751" s="36" t="n">
        <f aca="false">F751*I751</f>
        <v>24.5</v>
      </c>
      <c r="K751" s="36" t="n">
        <f aca="false">H751-J751</f>
        <v>11.9</v>
      </c>
    </row>
    <row r="752" customFormat="false" ht="15" hidden="false" customHeight="false" outlineLevel="0" collapsed="false">
      <c r="A752" s="41" t="n">
        <v>46250</v>
      </c>
      <c r="B752" s="42" t="n">
        <f aca="false">DATE(YEAR(A752),MONTH(A752),1)</f>
        <v>46235</v>
      </c>
      <c r="C752" s="3" t="s">
        <v>65</v>
      </c>
      <c r="D752" s="3" t="s">
        <v>66</v>
      </c>
      <c r="E752" s="3" t="s">
        <v>29</v>
      </c>
      <c r="F752" s="3" t="n">
        <v>8</v>
      </c>
      <c r="G752" s="36" t="n">
        <v>1.5</v>
      </c>
      <c r="H752" s="36" t="n">
        <f aca="false">F752*G752</f>
        <v>12</v>
      </c>
      <c r="I752" s="36" t="n">
        <f aca="false">INDEX(Inventory!$D$2:$D$17,MATCH(C752,Inventory!$A$2:$A$17,0))</f>
        <v>0.9</v>
      </c>
      <c r="J752" s="36" t="n">
        <f aca="false">F752*I752</f>
        <v>7.2</v>
      </c>
      <c r="K752" s="36" t="n">
        <f aca="false">H752-J752</f>
        <v>4.8</v>
      </c>
    </row>
    <row r="753" customFormat="false" ht="15" hidden="false" customHeight="false" outlineLevel="0" collapsed="false">
      <c r="A753" s="41" t="n">
        <v>46250</v>
      </c>
      <c r="B753" s="42" t="n">
        <f aca="false">DATE(YEAR(A753),MONTH(A753),1)</f>
        <v>46235</v>
      </c>
      <c r="C753" s="3" t="s">
        <v>55</v>
      </c>
      <c r="D753" s="3" t="s">
        <v>56</v>
      </c>
      <c r="E753" s="3" t="s">
        <v>29</v>
      </c>
      <c r="F753" s="3" t="n">
        <v>14</v>
      </c>
      <c r="G753" s="36" t="n">
        <v>2.5</v>
      </c>
      <c r="H753" s="36" t="n">
        <f aca="false">F753*G753</f>
        <v>35</v>
      </c>
      <c r="I753" s="36" t="n">
        <f aca="false">INDEX(Inventory!$D$2:$D$17,MATCH(C753,Inventory!$A$2:$A$17,0))</f>
        <v>1.6</v>
      </c>
      <c r="J753" s="36" t="n">
        <f aca="false">F753*I753</f>
        <v>22.4</v>
      </c>
      <c r="K753" s="36" t="n">
        <f aca="false">H753-J753</f>
        <v>12.6</v>
      </c>
    </row>
    <row r="754" customFormat="false" ht="15" hidden="false" customHeight="false" outlineLevel="0" collapsed="false">
      <c r="A754" s="41" t="n">
        <v>46251</v>
      </c>
      <c r="B754" s="42" t="n">
        <f aca="false">DATE(YEAR(A754),MONTH(A754),1)</f>
        <v>46235</v>
      </c>
      <c r="C754" s="3" t="s">
        <v>39</v>
      </c>
      <c r="D754" s="3" t="s">
        <v>40</v>
      </c>
      <c r="E754" s="3" t="s">
        <v>27</v>
      </c>
      <c r="F754" s="3" t="n">
        <v>21</v>
      </c>
      <c r="G754" s="36" t="n">
        <v>1</v>
      </c>
      <c r="H754" s="36" t="n">
        <f aca="false">F754*G754</f>
        <v>21</v>
      </c>
      <c r="I754" s="36" t="n">
        <f aca="false">INDEX(Inventory!$D$2:$D$17,MATCH(C754,Inventory!$A$2:$A$17,0))</f>
        <v>0.6</v>
      </c>
      <c r="J754" s="36" t="n">
        <f aca="false">F754*I754</f>
        <v>12.6</v>
      </c>
      <c r="K754" s="36" t="n">
        <f aca="false">H754-J754</f>
        <v>8.4</v>
      </c>
    </row>
    <row r="755" customFormat="false" ht="15" hidden="false" customHeight="false" outlineLevel="0" collapsed="false">
      <c r="A755" s="41" t="n">
        <v>46251</v>
      </c>
      <c r="B755" s="42" t="n">
        <f aca="false">DATE(YEAR(A755),MONTH(A755),1)</f>
        <v>46235</v>
      </c>
      <c r="C755" s="3" t="s">
        <v>53</v>
      </c>
      <c r="D755" s="3" t="s">
        <v>54</v>
      </c>
      <c r="E755" s="3" t="s">
        <v>27</v>
      </c>
      <c r="F755" s="3" t="n">
        <v>22</v>
      </c>
      <c r="G755" s="36" t="n">
        <v>0.95</v>
      </c>
      <c r="H755" s="36" t="n">
        <f aca="false">F755*G755</f>
        <v>20.9</v>
      </c>
      <c r="I755" s="36" t="n">
        <f aca="false">INDEX(Inventory!$D$2:$D$17,MATCH(C755,Inventory!$A$2:$A$17,0))</f>
        <v>0.55</v>
      </c>
      <c r="J755" s="36" t="n">
        <f aca="false">F755*I755</f>
        <v>12.1</v>
      </c>
      <c r="K755" s="36" t="n">
        <f aca="false">H755-J755</f>
        <v>8.8</v>
      </c>
    </row>
    <row r="756" customFormat="false" ht="15" hidden="false" customHeight="false" outlineLevel="0" collapsed="false">
      <c r="A756" s="41" t="n">
        <v>46251</v>
      </c>
      <c r="B756" s="42" t="n">
        <f aca="false">DATE(YEAR(A756),MONTH(A756),1)</f>
        <v>46235</v>
      </c>
      <c r="C756" s="3" t="s">
        <v>59</v>
      </c>
      <c r="D756" s="3" t="s">
        <v>60</v>
      </c>
      <c r="E756" s="3" t="s">
        <v>27</v>
      </c>
      <c r="F756" s="3" t="n">
        <v>42</v>
      </c>
      <c r="G756" s="36" t="n">
        <v>0.6</v>
      </c>
      <c r="H756" s="36" t="n">
        <f aca="false">F756*G756</f>
        <v>25.2</v>
      </c>
      <c r="I756" s="36" t="n">
        <f aca="false">INDEX(Inventory!$D$2:$D$17,MATCH(C756,Inventory!$A$2:$A$17,0))</f>
        <v>0.3</v>
      </c>
      <c r="J756" s="36" t="n">
        <f aca="false">F756*I756</f>
        <v>12.6</v>
      </c>
      <c r="K756" s="36" t="n">
        <f aca="false">H756-J756</f>
        <v>12.6</v>
      </c>
    </row>
    <row r="757" customFormat="false" ht="15" hidden="false" customHeight="false" outlineLevel="0" collapsed="false">
      <c r="A757" s="41" t="n">
        <v>46251</v>
      </c>
      <c r="B757" s="42" t="n">
        <f aca="false">DATE(YEAR(A757),MONTH(A757),1)</f>
        <v>46235</v>
      </c>
      <c r="C757" s="3" t="s">
        <v>57</v>
      </c>
      <c r="D757" s="3" t="s">
        <v>58</v>
      </c>
      <c r="E757" s="3" t="s">
        <v>27</v>
      </c>
      <c r="F757" s="3" t="n">
        <v>12</v>
      </c>
      <c r="G757" s="36" t="n">
        <v>1.5</v>
      </c>
      <c r="H757" s="36" t="n">
        <f aca="false">F757*G757</f>
        <v>18</v>
      </c>
      <c r="I757" s="36" t="n">
        <f aca="false">INDEX(Inventory!$D$2:$D$17,MATCH(C757,Inventory!$A$2:$A$17,0))</f>
        <v>0.9</v>
      </c>
      <c r="J757" s="36" t="n">
        <f aca="false">F757*I757</f>
        <v>10.8</v>
      </c>
      <c r="K757" s="36" t="n">
        <f aca="false">H757-J757</f>
        <v>7.2</v>
      </c>
    </row>
    <row r="758" customFormat="false" ht="15" hidden="false" customHeight="false" outlineLevel="0" collapsed="false">
      <c r="A758" s="41" t="n">
        <v>46251</v>
      </c>
      <c r="B758" s="42" t="n">
        <f aca="false">DATE(YEAR(A758),MONTH(A758),1)</f>
        <v>46235</v>
      </c>
      <c r="C758" s="3" t="s">
        <v>41</v>
      </c>
      <c r="D758" s="3" t="s">
        <v>42</v>
      </c>
      <c r="E758" s="3" t="s">
        <v>28</v>
      </c>
      <c r="F758" s="3" t="n">
        <v>16</v>
      </c>
      <c r="G758" s="36" t="n">
        <v>1.3</v>
      </c>
      <c r="H758" s="36" t="n">
        <f aca="false">F758*G758</f>
        <v>20.8</v>
      </c>
      <c r="I758" s="36" t="n">
        <f aca="false">INDEX(Inventory!$D$2:$D$17,MATCH(C758,Inventory!$A$2:$A$17,0))</f>
        <v>0.8</v>
      </c>
      <c r="J758" s="36" t="n">
        <f aca="false">F758*I758</f>
        <v>12.8</v>
      </c>
      <c r="K758" s="36" t="n">
        <f aca="false">H758-J758</f>
        <v>8</v>
      </c>
    </row>
    <row r="759" customFormat="false" ht="15" hidden="false" customHeight="false" outlineLevel="0" collapsed="false">
      <c r="A759" s="41" t="n">
        <v>46251</v>
      </c>
      <c r="B759" s="42" t="n">
        <f aca="false">DATE(YEAR(A759),MONTH(A759),1)</f>
        <v>46235</v>
      </c>
      <c r="C759" s="3" t="s">
        <v>63</v>
      </c>
      <c r="D759" s="3" t="s">
        <v>64</v>
      </c>
      <c r="E759" s="3" t="s">
        <v>28</v>
      </c>
      <c r="F759" s="3" t="n">
        <v>14</v>
      </c>
      <c r="G759" s="36" t="n">
        <v>0.9</v>
      </c>
      <c r="H759" s="36" t="n">
        <f aca="false">F759*G759</f>
        <v>12.6</v>
      </c>
      <c r="I759" s="36" t="n">
        <f aca="false">INDEX(Inventory!$D$2:$D$17,MATCH(C759,Inventory!$A$2:$A$17,0))</f>
        <v>0.5</v>
      </c>
      <c r="J759" s="36" t="n">
        <f aca="false">F759*I759</f>
        <v>7</v>
      </c>
      <c r="K759" s="36" t="n">
        <f aca="false">H759-J759</f>
        <v>5.6</v>
      </c>
    </row>
    <row r="760" customFormat="false" ht="15" hidden="false" customHeight="false" outlineLevel="0" collapsed="false">
      <c r="A760" s="41" t="n">
        <v>46251</v>
      </c>
      <c r="B760" s="42" t="n">
        <f aca="false">DATE(YEAR(A760),MONTH(A760),1)</f>
        <v>46235</v>
      </c>
      <c r="C760" s="3" t="s">
        <v>49</v>
      </c>
      <c r="D760" s="3" t="s">
        <v>50</v>
      </c>
      <c r="E760" s="3" t="s">
        <v>28</v>
      </c>
      <c r="F760" s="3" t="n">
        <v>18</v>
      </c>
      <c r="G760" s="36" t="n">
        <v>1.2</v>
      </c>
      <c r="H760" s="36" t="n">
        <f aca="false">F760*G760</f>
        <v>21.6</v>
      </c>
      <c r="I760" s="36" t="n">
        <f aca="false">INDEX(Inventory!$D$2:$D$17,MATCH(C760,Inventory!$A$2:$A$17,0))</f>
        <v>0.7</v>
      </c>
      <c r="J760" s="36" t="n">
        <f aca="false">F760*I760</f>
        <v>12.6</v>
      </c>
      <c r="K760" s="36" t="n">
        <f aca="false">H760-J760</f>
        <v>9</v>
      </c>
    </row>
    <row r="761" customFormat="false" ht="15" hidden="false" customHeight="false" outlineLevel="0" collapsed="false">
      <c r="A761" s="41" t="n">
        <v>46251</v>
      </c>
      <c r="B761" s="42" t="n">
        <f aca="false">DATE(YEAR(A761),MONTH(A761),1)</f>
        <v>46235</v>
      </c>
      <c r="C761" s="3" t="s">
        <v>51</v>
      </c>
      <c r="D761" s="3" t="s">
        <v>52</v>
      </c>
      <c r="E761" s="3" t="s">
        <v>28</v>
      </c>
      <c r="F761" s="3" t="n">
        <v>28</v>
      </c>
      <c r="G761" s="36" t="n">
        <v>0.85</v>
      </c>
      <c r="H761" s="36" t="n">
        <f aca="false">F761*G761</f>
        <v>23.8</v>
      </c>
      <c r="I761" s="36" t="n">
        <f aca="false">INDEX(Inventory!$D$2:$D$17,MATCH(C761,Inventory!$A$2:$A$17,0))</f>
        <v>0.45</v>
      </c>
      <c r="J761" s="36" t="n">
        <f aca="false">F761*I761</f>
        <v>12.6</v>
      </c>
      <c r="K761" s="36" t="n">
        <f aca="false">H761-J761</f>
        <v>11.2</v>
      </c>
    </row>
    <row r="762" customFormat="false" ht="15" hidden="false" customHeight="false" outlineLevel="0" collapsed="false">
      <c r="A762" s="41" t="n">
        <v>46251</v>
      </c>
      <c r="B762" s="42" t="n">
        <f aca="false">DATE(YEAR(A762),MONTH(A762),1)</f>
        <v>46235</v>
      </c>
      <c r="C762" s="3" t="s">
        <v>37</v>
      </c>
      <c r="D762" s="3" t="s">
        <v>38</v>
      </c>
      <c r="E762" s="3" t="s">
        <v>26</v>
      </c>
      <c r="F762" s="3" t="n">
        <v>25</v>
      </c>
      <c r="G762" s="36" t="n">
        <v>1.2</v>
      </c>
      <c r="H762" s="36" t="n">
        <f aca="false">F762*G762</f>
        <v>30</v>
      </c>
      <c r="I762" s="36" t="n">
        <f aca="false">INDEX(Inventory!$D$2:$D$17,MATCH(C762,Inventory!$A$2:$A$17,0))</f>
        <v>0.85</v>
      </c>
      <c r="J762" s="36" t="n">
        <f aca="false">F762*I762</f>
        <v>21.25</v>
      </c>
      <c r="K762" s="36" t="n">
        <f aca="false">H762-J762</f>
        <v>8.75</v>
      </c>
    </row>
    <row r="763" customFormat="false" ht="15" hidden="false" customHeight="false" outlineLevel="0" collapsed="false">
      <c r="A763" s="41" t="n">
        <v>46251</v>
      </c>
      <c r="B763" s="42" t="n">
        <f aca="false">DATE(YEAR(A763),MONTH(A763),1)</f>
        <v>46235</v>
      </c>
      <c r="C763" s="3" t="s">
        <v>47</v>
      </c>
      <c r="D763" s="3" t="s">
        <v>48</v>
      </c>
      <c r="E763" s="3" t="s">
        <v>26</v>
      </c>
      <c r="F763" s="3" t="n">
        <v>7</v>
      </c>
      <c r="G763" s="36" t="n">
        <v>2.2</v>
      </c>
      <c r="H763" s="36" t="n">
        <f aca="false">F763*G763</f>
        <v>15.4</v>
      </c>
      <c r="I763" s="36" t="n">
        <f aca="false">INDEX(Inventory!$D$2:$D$17,MATCH(C763,Inventory!$A$2:$A$17,0))</f>
        <v>1.4</v>
      </c>
      <c r="J763" s="36" t="n">
        <f aca="false">F763*I763</f>
        <v>9.8</v>
      </c>
      <c r="K763" s="36" t="n">
        <f aca="false">H763-J763</f>
        <v>5.6</v>
      </c>
    </row>
    <row r="764" customFormat="false" ht="15" hidden="false" customHeight="false" outlineLevel="0" collapsed="false">
      <c r="A764" s="41" t="n">
        <v>46251</v>
      </c>
      <c r="B764" s="42" t="n">
        <f aca="false">DATE(YEAR(A764),MONTH(A764),1)</f>
        <v>46235</v>
      </c>
      <c r="C764" s="3" t="s">
        <v>43</v>
      </c>
      <c r="D764" s="3" t="s">
        <v>44</v>
      </c>
      <c r="E764" s="3" t="s">
        <v>26</v>
      </c>
      <c r="F764" s="3" t="n">
        <v>7</v>
      </c>
      <c r="G764" s="36" t="n">
        <v>3.8</v>
      </c>
      <c r="H764" s="36" t="n">
        <f aca="false">F764*G764</f>
        <v>26.6</v>
      </c>
      <c r="I764" s="36" t="n">
        <f aca="false">INDEX(Inventory!$D$2:$D$17,MATCH(C764,Inventory!$A$2:$A$17,0))</f>
        <v>2.6</v>
      </c>
      <c r="J764" s="36" t="n">
        <f aca="false">F764*I764</f>
        <v>18.2</v>
      </c>
      <c r="K764" s="36" t="n">
        <f aca="false">H764-J764</f>
        <v>8.4</v>
      </c>
    </row>
    <row r="765" customFormat="false" ht="15" hidden="false" customHeight="false" outlineLevel="0" collapsed="false">
      <c r="A765" s="41" t="n">
        <v>46251</v>
      </c>
      <c r="B765" s="42" t="n">
        <f aca="false">DATE(YEAR(A765),MONTH(A765),1)</f>
        <v>46235</v>
      </c>
      <c r="C765" s="3" t="s">
        <v>67</v>
      </c>
      <c r="D765" s="3" t="s">
        <v>68</v>
      </c>
      <c r="E765" s="3" t="s">
        <v>26</v>
      </c>
      <c r="F765" s="3" t="n">
        <v>5</v>
      </c>
      <c r="G765" s="36" t="n">
        <v>1.9</v>
      </c>
      <c r="H765" s="36" t="n">
        <f aca="false">F765*G765</f>
        <v>9.5</v>
      </c>
      <c r="I765" s="36" t="n">
        <f aca="false">INDEX(Inventory!$D$2:$D$17,MATCH(C765,Inventory!$A$2:$A$17,0))</f>
        <v>1.3</v>
      </c>
      <c r="J765" s="36" t="n">
        <f aca="false">F765*I765</f>
        <v>6.5</v>
      </c>
      <c r="K765" s="36" t="n">
        <f aca="false">H765-J765</f>
        <v>3</v>
      </c>
    </row>
    <row r="766" customFormat="false" ht="15" hidden="false" customHeight="false" outlineLevel="0" collapsed="false">
      <c r="A766" s="41" t="n">
        <v>46251</v>
      </c>
      <c r="B766" s="42" t="n">
        <f aca="false">DATE(YEAR(A766),MONTH(A766),1)</f>
        <v>46235</v>
      </c>
      <c r="C766" s="3" t="s">
        <v>61</v>
      </c>
      <c r="D766" s="3" t="s">
        <v>62</v>
      </c>
      <c r="E766" s="3" t="s">
        <v>29</v>
      </c>
      <c r="F766" s="3" t="n">
        <v>4</v>
      </c>
      <c r="G766" s="36" t="n">
        <v>1.9</v>
      </c>
      <c r="H766" s="36" t="n">
        <f aca="false">F766*G766</f>
        <v>7.6</v>
      </c>
      <c r="I766" s="36" t="n">
        <f aca="false">INDEX(Inventory!$D$2:$D$17,MATCH(C766,Inventory!$A$2:$A$17,0))</f>
        <v>1.1</v>
      </c>
      <c r="J766" s="36" t="n">
        <f aca="false">F766*I766</f>
        <v>4.4</v>
      </c>
      <c r="K766" s="36" t="n">
        <f aca="false">H766-J766</f>
        <v>3.2</v>
      </c>
    </row>
    <row r="767" customFormat="false" ht="15" hidden="false" customHeight="false" outlineLevel="0" collapsed="false">
      <c r="A767" s="41" t="n">
        <v>46251</v>
      </c>
      <c r="B767" s="42" t="n">
        <f aca="false">DATE(YEAR(A767),MONTH(A767),1)</f>
        <v>46235</v>
      </c>
      <c r="C767" s="3" t="s">
        <v>45</v>
      </c>
      <c r="D767" s="3" t="s">
        <v>46</v>
      </c>
      <c r="E767" s="3" t="s">
        <v>29</v>
      </c>
      <c r="F767" s="3" t="n">
        <v>4</v>
      </c>
      <c r="G767" s="36" t="n">
        <v>5.2</v>
      </c>
      <c r="H767" s="36" t="n">
        <f aca="false">F767*G767</f>
        <v>20.8</v>
      </c>
      <c r="I767" s="36" t="n">
        <f aca="false">INDEX(Inventory!$D$2:$D$17,MATCH(C767,Inventory!$A$2:$A$17,0))</f>
        <v>3.5</v>
      </c>
      <c r="J767" s="36" t="n">
        <f aca="false">F767*I767</f>
        <v>14</v>
      </c>
      <c r="K767" s="36" t="n">
        <f aca="false">H767-J767</f>
        <v>6.8</v>
      </c>
    </row>
    <row r="768" customFormat="false" ht="15" hidden="false" customHeight="false" outlineLevel="0" collapsed="false">
      <c r="A768" s="41" t="n">
        <v>46251</v>
      </c>
      <c r="B768" s="42" t="n">
        <f aca="false">DATE(YEAR(A768),MONTH(A768),1)</f>
        <v>46235</v>
      </c>
      <c r="C768" s="3" t="s">
        <v>65</v>
      </c>
      <c r="D768" s="3" t="s">
        <v>66</v>
      </c>
      <c r="E768" s="3" t="s">
        <v>29</v>
      </c>
      <c r="F768" s="3" t="n">
        <v>5</v>
      </c>
      <c r="G768" s="36" t="n">
        <v>1.5</v>
      </c>
      <c r="H768" s="36" t="n">
        <f aca="false">F768*G768</f>
        <v>7.5</v>
      </c>
      <c r="I768" s="36" t="n">
        <f aca="false">INDEX(Inventory!$D$2:$D$17,MATCH(C768,Inventory!$A$2:$A$17,0))</f>
        <v>0.9</v>
      </c>
      <c r="J768" s="36" t="n">
        <f aca="false">F768*I768</f>
        <v>4.5</v>
      </c>
      <c r="K768" s="36" t="n">
        <f aca="false">H768-J768</f>
        <v>3</v>
      </c>
    </row>
    <row r="769" customFormat="false" ht="15" hidden="false" customHeight="false" outlineLevel="0" collapsed="false">
      <c r="A769" s="41" t="n">
        <v>46251</v>
      </c>
      <c r="B769" s="42" t="n">
        <f aca="false">DATE(YEAR(A769),MONTH(A769),1)</f>
        <v>46235</v>
      </c>
      <c r="C769" s="3" t="s">
        <v>55</v>
      </c>
      <c r="D769" s="3" t="s">
        <v>56</v>
      </c>
      <c r="E769" s="3" t="s">
        <v>29</v>
      </c>
      <c r="F769" s="3" t="n">
        <v>8</v>
      </c>
      <c r="G769" s="36" t="n">
        <v>2.5</v>
      </c>
      <c r="H769" s="36" t="n">
        <f aca="false">F769*G769</f>
        <v>20</v>
      </c>
      <c r="I769" s="36" t="n">
        <f aca="false">INDEX(Inventory!$D$2:$D$17,MATCH(C769,Inventory!$A$2:$A$17,0))</f>
        <v>1.6</v>
      </c>
      <c r="J769" s="36" t="n">
        <f aca="false">F769*I769</f>
        <v>12.8</v>
      </c>
      <c r="K769" s="36" t="n">
        <f aca="false">H769-J769</f>
        <v>7.2</v>
      </c>
    </row>
    <row r="770" customFormat="false" ht="15" hidden="false" customHeight="false" outlineLevel="0" collapsed="false">
      <c r="A770" s="41" t="n">
        <v>46252</v>
      </c>
      <c r="B770" s="42" t="n">
        <f aca="false">DATE(YEAR(A770),MONTH(A770),1)</f>
        <v>46235</v>
      </c>
      <c r="C770" s="3" t="s">
        <v>39</v>
      </c>
      <c r="D770" s="3" t="s">
        <v>40</v>
      </c>
      <c r="E770" s="3" t="s">
        <v>27</v>
      </c>
      <c r="F770" s="3" t="n">
        <v>40</v>
      </c>
      <c r="G770" s="36" t="n">
        <v>1</v>
      </c>
      <c r="H770" s="36" t="n">
        <f aca="false">F770*G770</f>
        <v>40</v>
      </c>
      <c r="I770" s="36" t="n">
        <f aca="false">INDEX(Inventory!$D$2:$D$17,MATCH(C770,Inventory!$A$2:$A$17,0))</f>
        <v>0.6</v>
      </c>
      <c r="J770" s="36" t="n">
        <f aca="false">F770*I770</f>
        <v>24</v>
      </c>
      <c r="K770" s="36" t="n">
        <f aca="false">H770-J770</f>
        <v>16</v>
      </c>
    </row>
    <row r="771" customFormat="false" ht="15" hidden="false" customHeight="false" outlineLevel="0" collapsed="false">
      <c r="A771" s="41" t="n">
        <v>46252</v>
      </c>
      <c r="B771" s="42" t="n">
        <f aca="false">DATE(YEAR(A771),MONTH(A771),1)</f>
        <v>46235</v>
      </c>
      <c r="C771" s="3" t="s">
        <v>53</v>
      </c>
      <c r="D771" s="3" t="s">
        <v>54</v>
      </c>
      <c r="E771" s="3" t="s">
        <v>27</v>
      </c>
      <c r="F771" s="3" t="n">
        <v>27</v>
      </c>
      <c r="G771" s="36" t="n">
        <v>0.95</v>
      </c>
      <c r="H771" s="36" t="n">
        <f aca="false">F771*G771</f>
        <v>25.65</v>
      </c>
      <c r="I771" s="36" t="n">
        <f aca="false">INDEX(Inventory!$D$2:$D$17,MATCH(C771,Inventory!$A$2:$A$17,0))</f>
        <v>0.55</v>
      </c>
      <c r="J771" s="36" t="n">
        <f aca="false">F771*I771</f>
        <v>14.85</v>
      </c>
      <c r="K771" s="36" t="n">
        <f aca="false">H771-J771</f>
        <v>10.8</v>
      </c>
    </row>
    <row r="772" customFormat="false" ht="15" hidden="false" customHeight="false" outlineLevel="0" collapsed="false">
      <c r="A772" s="41" t="n">
        <v>46252</v>
      </c>
      <c r="B772" s="42" t="n">
        <f aca="false">DATE(YEAR(A772),MONTH(A772),1)</f>
        <v>46235</v>
      </c>
      <c r="C772" s="3" t="s">
        <v>59</v>
      </c>
      <c r="D772" s="3" t="s">
        <v>60</v>
      </c>
      <c r="E772" s="3" t="s">
        <v>27</v>
      </c>
      <c r="F772" s="3" t="n">
        <v>27</v>
      </c>
      <c r="G772" s="36" t="n">
        <v>0.6</v>
      </c>
      <c r="H772" s="36" t="n">
        <f aca="false">F772*G772</f>
        <v>16.2</v>
      </c>
      <c r="I772" s="36" t="n">
        <f aca="false">INDEX(Inventory!$D$2:$D$17,MATCH(C772,Inventory!$A$2:$A$17,0))</f>
        <v>0.3</v>
      </c>
      <c r="J772" s="36" t="n">
        <f aca="false">F772*I772</f>
        <v>8.1</v>
      </c>
      <c r="K772" s="36" t="n">
        <f aca="false">H772-J772</f>
        <v>8.1</v>
      </c>
    </row>
    <row r="773" customFormat="false" ht="15" hidden="false" customHeight="false" outlineLevel="0" collapsed="false">
      <c r="A773" s="41" t="n">
        <v>46252</v>
      </c>
      <c r="B773" s="42" t="n">
        <f aca="false">DATE(YEAR(A773),MONTH(A773),1)</f>
        <v>46235</v>
      </c>
      <c r="C773" s="3" t="s">
        <v>57</v>
      </c>
      <c r="D773" s="3" t="s">
        <v>58</v>
      </c>
      <c r="E773" s="3" t="s">
        <v>27</v>
      </c>
      <c r="F773" s="3" t="n">
        <v>11</v>
      </c>
      <c r="G773" s="36" t="n">
        <v>1.5</v>
      </c>
      <c r="H773" s="36" t="n">
        <f aca="false">F773*G773</f>
        <v>16.5</v>
      </c>
      <c r="I773" s="36" t="n">
        <f aca="false">INDEX(Inventory!$D$2:$D$17,MATCH(C773,Inventory!$A$2:$A$17,0))</f>
        <v>0.9</v>
      </c>
      <c r="J773" s="36" t="n">
        <f aca="false">F773*I773</f>
        <v>9.9</v>
      </c>
      <c r="K773" s="36" t="n">
        <f aca="false">H773-J773</f>
        <v>6.6</v>
      </c>
    </row>
    <row r="774" customFormat="false" ht="15" hidden="false" customHeight="false" outlineLevel="0" collapsed="false">
      <c r="A774" s="41" t="n">
        <v>46252</v>
      </c>
      <c r="B774" s="42" t="n">
        <f aca="false">DATE(YEAR(A774),MONTH(A774),1)</f>
        <v>46235</v>
      </c>
      <c r="C774" s="3" t="s">
        <v>41</v>
      </c>
      <c r="D774" s="3" t="s">
        <v>42</v>
      </c>
      <c r="E774" s="3" t="s">
        <v>28</v>
      </c>
      <c r="F774" s="3" t="n">
        <v>24</v>
      </c>
      <c r="G774" s="36" t="n">
        <v>1.3</v>
      </c>
      <c r="H774" s="36" t="n">
        <f aca="false">F774*G774</f>
        <v>31.2</v>
      </c>
      <c r="I774" s="36" t="n">
        <f aca="false">INDEX(Inventory!$D$2:$D$17,MATCH(C774,Inventory!$A$2:$A$17,0))</f>
        <v>0.8</v>
      </c>
      <c r="J774" s="36" t="n">
        <f aca="false">F774*I774</f>
        <v>19.2</v>
      </c>
      <c r="K774" s="36" t="n">
        <f aca="false">H774-J774</f>
        <v>12</v>
      </c>
    </row>
    <row r="775" customFormat="false" ht="15" hidden="false" customHeight="false" outlineLevel="0" collapsed="false">
      <c r="A775" s="41" t="n">
        <v>46252</v>
      </c>
      <c r="B775" s="42" t="n">
        <f aca="false">DATE(YEAR(A775),MONTH(A775),1)</f>
        <v>46235</v>
      </c>
      <c r="C775" s="3" t="s">
        <v>63</v>
      </c>
      <c r="D775" s="3" t="s">
        <v>64</v>
      </c>
      <c r="E775" s="3" t="s">
        <v>28</v>
      </c>
      <c r="F775" s="3" t="n">
        <v>18</v>
      </c>
      <c r="G775" s="36" t="n">
        <v>0.9</v>
      </c>
      <c r="H775" s="36" t="n">
        <f aca="false">F775*G775</f>
        <v>16.2</v>
      </c>
      <c r="I775" s="36" t="n">
        <f aca="false">INDEX(Inventory!$D$2:$D$17,MATCH(C775,Inventory!$A$2:$A$17,0))</f>
        <v>0.5</v>
      </c>
      <c r="J775" s="36" t="n">
        <f aca="false">F775*I775</f>
        <v>9</v>
      </c>
      <c r="K775" s="36" t="n">
        <f aca="false">H775-J775</f>
        <v>7.2</v>
      </c>
    </row>
    <row r="776" customFormat="false" ht="15" hidden="false" customHeight="false" outlineLevel="0" collapsed="false">
      <c r="A776" s="41" t="n">
        <v>46252</v>
      </c>
      <c r="B776" s="42" t="n">
        <f aca="false">DATE(YEAR(A776),MONTH(A776),1)</f>
        <v>46235</v>
      </c>
      <c r="C776" s="3" t="s">
        <v>49</v>
      </c>
      <c r="D776" s="3" t="s">
        <v>50</v>
      </c>
      <c r="E776" s="3" t="s">
        <v>28</v>
      </c>
      <c r="F776" s="3" t="n">
        <v>15</v>
      </c>
      <c r="G776" s="36" t="n">
        <v>1.2</v>
      </c>
      <c r="H776" s="36" t="n">
        <f aca="false">F776*G776</f>
        <v>18</v>
      </c>
      <c r="I776" s="36" t="n">
        <f aca="false">INDEX(Inventory!$D$2:$D$17,MATCH(C776,Inventory!$A$2:$A$17,0))</f>
        <v>0.7</v>
      </c>
      <c r="J776" s="36" t="n">
        <f aca="false">F776*I776</f>
        <v>10.5</v>
      </c>
      <c r="K776" s="36" t="n">
        <f aca="false">H776-J776</f>
        <v>7.5</v>
      </c>
    </row>
    <row r="777" customFormat="false" ht="15" hidden="false" customHeight="false" outlineLevel="0" collapsed="false">
      <c r="A777" s="41" t="n">
        <v>46252</v>
      </c>
      <c r="B777" s="42" t="n">
        <f aca="false">DATE(YEAR(A777),MONTH(A777),1)</f>
        <v>46235</v>
      </c>
      <c r="C777" s="3" t="s">
        <v>51</v>
      </c>
      <c r="D777" s="3" t="s">
        <v>52</v>
      </c>
      <c r="E777" s="3" t="s">
        <v>28</v>
      </c>
      <c r="F777" s="3" t="n">
        <v>22</v>
      </c>
      <c r="G777" s="36" t="n">
        <v>0.85</v>
      </c>
      <c r="H777" s="36" t="n">
        <f aca="false">F777*G777</f>
        <v>18.7</v>
      </c>
      <c r="I777" s="36" t="n">
        <f aca="false">INDEX(Inventory!$D$2:$D$17,MATCH(C777,Inventory!$A$2:$A$17,0))</f>
        <v>0.45</v>
      </c>
      <c r="J777" s="36" t="n">
        <f aca="false">F777*I777</f>
        <v>9.9</v>
      </c>
      <c r="K777" s="36" t="n">
        <f aca="false">H777-J777</f>
        <v>8.8</v>
      </c>
    </row>
    <row r="778" customFormat="false" ht="15" hidden="false" customHeight="false" outlineLevel="0" collapsed="false">
      <c r="A778" s="41" t="n">
        <v>46252</v>
      </c>
      <c r="B778" s="42" t="n">
        <f aca="false">DATE(YEAR(A778),MONTH(A778),1)</f>
        <v>46235</v>
      </c>
      <c r="C778" s="3" t="s">
        <v>37</v>
      </c>
      <c r="D778" s="3" t="s">
        <v>38</v>
      </c>
      <c r="E778" s="3" t="s">
        <v>26</v>
      </c>
      <c r="F778" s="3" t="n">
        <v>38</v>
      </c>
      <c r="G778" s="36" t="n">
        <v>1.2</v>
      </c>
      <c r="H778" s="36" t="n">
        <f aca="false">F778*G778</f>
        <v>45.6</v>
      </c>
      <c r="I778" s="36" t="n">
        <f aca="false">INDEX(Inventory!$D$2:$D$17,MATCH(C778,Inventory!$A$2:$A$17,0))</f>
        <v>0.85</v>
      </c>
      <c r="J778" s="36" t="n">
        <f aca="false">F778*I778</f>
        <v>32.3</v>
      </c>
      <c r="K778" s="36" t="n">
        <f aca="false">H778-J778</f>
        <v>13.3</v>
      </c>
    </row>
    <row r="779" customFormat="false" ht="15" hidden="false" customHeight="false" outlineLevel="0" collapsed="false">
      <c r="A779" s="41" t="n">
        <v>46252</v>
      </c>
      <c r="B779" s="42" t="n">
        <f aca="false">DATE(YEAR(A779),MONTH(A779),1)</f>
        <v>46235</v>
      </c>
      <c r="C779" s="3" t="s">
        <v>47</v>
      </c>
      <c r="D779" s="3" t="s">
        <v>48</v>
      </c>
      <c r="E779" s="3" t="s">
        <v>26</v>
      </c>
      <c r="F779" s="3" t="n">
        <v>10</v>
      </c>
      <c r="G779" s="36" t="n">
        <v>2.2</v>
      </c>
      <c r="H779" s="36" t="n">
        <f aca="false">F779*G779</f>
        <v>22</v>
      </c>
      <c r="I779" s="36" t="n">
        <f aca="false">INDEX(Inventory!$D$2:$D$17,MATCH(C779,Inventory!$A$2:$A$17,0))</f>
        <v>1.4</v>
      </c>
      <c r="J779" s="36" t="n">
        <f aca="false">F779*I779</f>
        <v>14</v>
      </c>
      <c r="K779" s="36" t="n">
        <f aca="false">H779-J779</f>
        <v>8</v>
      </c>
    </row>
    <row r="780" customFormat="false" ht="15" hidden="false" customHeight="false" outlineLevel="0" collapsed="false">
      <c r="A780" s="41" t="n">
        <v>46252</v>
      </c>
      <c r="B780" s="42" t="n">
        <f aca="false">DATE(YEAR(A780),MONTH(A780),1)</f>
        <v>46235</v>
      </c>
      <c r="C780" s="3" t="s">
        <v>43</v>
      </c>
      <c r="D780" s="3" t="s">
        <v>44</v>
      </c>
      <c r="E780" s="3" t="s">
        <v>26</v>
      </c>
      <c r="F780" s="3" t="n">
        <v>6</v>
      </c>
      <c r="G780" s="36" t="n">
        <v>3.8</v>
      </c>
      <c r="H780" s="36" t="n">
        <f aca="false">F780*G780</f>
        <v>22.8</v>
      </c>
      <c r="I780" s="36" t="n">
        <f aca="false">INDEX(Inventory!$D$2:$D$17,MATCH(C780,Inventory!$A$2:$A$17,0))</f>
        <v>2.6</v>
      </c>
      <c r="J780" s="36" t="n">
        <f aca="false">F780*I780</f>
        <v>15.6</v>
      </c>
      <c r="K780" s="36" t="n">
        <f aca="false">H780-J780</f>
        <v>7.2</v>
      </c>
    </row>
    <row r="781" customFormat="false" ht="15" hidden="false" customHeight="false" outlineLevel="0" collapsed="false">
      <c r="A781" s="41" t="n">
        <v>46252</v>
      </c>
      <c r="B781" s="42" t="n">
        <f aca="false">DATE(YEAR(A781),MONTH(A781),1)</f>
        <v>46235</v>
      </c>
      <c r="C781" s="3" t="s">
        <v>67</v>
      </c>
      <c r="D781" s="3" t="s">
        <v>68</v>
      </c>
      <c r="E781" s="3" t="s">
        <v>26</v>
      </c>
      <c r="F781" s="3" t="n">
        <v>6</v>
      </c>
      <c r="G781" s="36" t="n">
        <v>1.9</v>
      </c>
      <c r="H781" s="36" t="n">
        <f aca="false">F781*G781</f>
        <v>11.4</v>
      </c>
      <c r="I781" s="36" t="n">
        <f aca="false">INDEX(Inventory!$D$2:$D$17,MATCH(C781,Inventory!$A$2:$A$17,0))</f>
        <v>1.3</v>
      </c>
      <c r="J781" s="36" t="n">
        <f aca="false">F781*I781</f>
        <v>7.8</v>
      </c>
      <c r="K781" s="36" t="n">
        <f aca="false">H781-J781</f>
        <v>3.6</v>
      </c>
    </row>
    <row r="782" customFormat="false" ht="15" hidden="false" customHeight="false" outlineLevel="0" collapsed="false">
      <c r="A782" s="41" t="n">
        <v>46252</v>
      </c>
      <c r="B782" s="42" t="n">
        <f aca="false">DATE(YEAR(A782),MONTH(A782),1)</f>
        <v>46235</v>
      </c>
      <c r="C782" s="3" t="s">
        <v>61</v>
      </c>
      <c r="D782" s="3" t="s">
        <v>62</v>
      </c>
      <c r="E782" s="3" t="s">
        <v>29</v>
      </c>
      <c r="F782" s="3" t="n">
        <v>11</v>
      </c>
      <c r="G782" s="36" t="n">
        <v>1.9</v>
      </c>
      <c r="H782" s="36" t="n">
        <f aca="false">F782*G782</f>
        <v>20.9</v>
      </c>
      <c r="I782" s="36" t="n">
        <f aca="false">INDEX(Inventory!$D$2:$D$17,MATCH(C782,Inventory!$A$2:$A$17,0))</f>
        <v>1.1</v>
      </c>
      <c r="J782" s="36" t="n">
        <f aca="false">F782*I782</f>
        <v>12.1</v>
      </c>
      <c r="K782" s="36" t="n">
        <f aca="false">H782-J782</f>
        <v>8.8</v>
      </c>
    </row>
    <row r="783" customFormat="false" ht="15" hidden="false" customHeight="false" outlineLevel="0" collapsed="false">
      <c r="A783" s="41" t="n">
        <v>46252</v>
      </c>
      <c r="B783" s="42" t="n">
        <f aca="false">DATE(YEAR(A783),MONTH(A783),1)</f>
        <v>46235</v>
      </c>
      <c r="C783" s="3" t="s">
        <v>45</v>
      </c>
      <c r="D783" s="3" t="s">
        <v>46</v>
      </c>
      <c r="E783" s="3" t="s">
        <v>29</v>
      </c>
      <c r="F783" s="3" t="n">
        <v>4</v>
      </c>
      <c r="G783" s="36" t="n">
        <v>5.2</v>
      </c>
      <c r="H783" s="36" t="n">
        <f aca="false">F783*G783</f>
        <v>20.8</v>
      </c>
      <c r="I783" s="36" t="n">
        <f aca="false">INDEX(Inventory!$D$2:$D$17,MATCH(C783,Inventory!$A$2:$A$17,0))</f>
        <v>3.5</v>
      </c>
      <c r="J783" s="36" t="n">
        <f aca="false">F783*I783</f>
        <v>14</v>
      </c>
      <c r="K783" s="36" t="n">
        <f aca="false">H783-J783</f>
        <v>6.8</v>
      </c>
    </row>
    <row r="784" customFormat="false" ht="15" hidden="false" customHeight="false" outlineLevel="0" collapsed="false">
      <c r="A784" s="41" t="n">
        <v>46252</v>
      </c>
      <c r="B784" s="42" t="n">
        <f aca="false">DATE(YEAR(A784),MONTH(A784),1)</f>
        <v>46235</v>
      </c>
      <c r="C784" s="3" t="s">
        <v>65</v>
      </c>
      <c r="D784" s="3" t="s">
        <v>66</v>
      </c>
      <c r="E784" s="3" t="s">
        <v>29</v>
      </c>
      <c r="F784" s="3" t="n">
        <v>8</v>
      </c>
      <c r="G784" s="36" t="n">
        <v>1.5</v>
      </c>
      <c r="H784" s="36" t="n">
        <f aca="false">F784*G784</f>
        <v>12</v>
      </c>
      <c r="I784" s="36" t="n">
        <f aca="false">INDEX(Inventory!$D$2:$D$17,MATCH(C784,Inventory!$A$2:$A$17,0))</f>
        <v>0.9</v>
      </c>
      <c r="J784" s="36" t="n">
        <f aca="false">F784*I784</f>
        <v>7.2</v>
      </c>
      <c r="K784" s="36" t="n">
        <f aca="false">H784-J784</f>
        <v>4.8</v>
      </c>
    </row>
    <row r="785" customFormat="false" ht="15" hidden="false" customHeight="false" outlineLevel="0" collapsed="false">
      <c r="A785" s="41" t="n">
        <v>46252</v>
      </c>
      <c r="B785" s="42" t="n">
        <f aca="false">DATE(YEAR(A785),MONTH(A785),1)</f>
        <v>46235</v>
      </c>
      <c r="C785" s="3" t="s">
        <v>55</v>
      </c>
      <c r="D785" s="3" t="s">
        <v>56</v>
      </c>
      <c r="E785" s="3" t="s">
        <v>29</v>
      </c>
      <c r="F785" s="3" t="n">
        <v>5</v>
      </c>
      <c r="G785" s="36" t="n">
        <v>2.5</v>
      </c>
      <c r="H785" s="36" t="n">
        <f aca="false">F785*G785</f>
        <v>12.5</v>
      </c>
      <c r="I785" s="36" t="n">
        <f aca="false">INDEX(Inventory!$D$2:$D$17,MATCH(C785,Inventory!$A$2:$A$17,0))</f>
        <v>1.6</v>
      </c>
      <c r="J785" s="36" t="n">
        <f aca="false">F785*I785</f>
        <v>8</v>
      </c>
      <c r="K785" s="36" t="n">
        <f aca="false">H785-J785</f>
        <v>4.5</v>
      </c>
    </row>
    <row r="786" customFormat="false" ht="15" hidden="false" customHeight="false" outlineLevel="0" collapsed="false">
      <c r="A786" s="41" t="n">
        <v>46253</v>
      </c>
      <c r="B786" s="42" t="n">
        <f aca="false">DATE(YEAR(A786),MONTH(A786),1)</f>
        <v>46235</v>
      </c>
      <c r="C786" s="3" t="s">
        <v>39</v>
      </c>
      <c r="D786" s="3" t="s">
        <v>40</v>
      </c>
      <c r="E786" s="3" t="s">
        <v>27</v>
      </c>
      <c r="F786" s="3" t="n">
        <v>25</v>
      </c>
      <c r="G786" s="36" t="n">
        <v>1</v>
      </c>
      <c r="H786" s="36" t="n">
        <f aca="false">F786*G786</f>
        <v>25</v>
      </c>
      <c r="I786" s="36" t="n">
        <f aca="false">INDEX(Inventory!$D$2:$D$17,MATCH(C786,Inventory!$A$2:$A$17,0))</f>
        <v>0.6</v>
      </c>
      <c r="J786" s="36" t="n">
        <f aca="false">F786*I786</f>
        <v>15</v>
      </c>
      <c r="K786" s="36" t="n">
        <f aca="false">H786-J786</f>
        <v>10</v>
      </c>
    </row>
    <row r="787" customFormat="false" ht="15" hidden="false" customHeight="false" outlineLevel="0" collapsed="false">
      <c r="A787" s="41" t="n">
        <v>46253</v>
      </c>
      <c r="B787" s="42" t="n">
        <f aca="false">DATE(YEAR(A787),MONTH(A787),1)</f>
        <v>46235</v>
      </c>
      <c r="C787" s="3" t="s">
        <v>53</v>
      </c>
      <c r="D787" s="3" t="s">
        <v>54</v>
      </c>
      <c r="E787" s="3" t="s">
        <v>27</v>
      </c>
      <c r="F787" s="3" t="n">
        <v>27</v>
      </c>
      <c r="G787" s="36" t="n">
        <v>0.95</v>
      </c>
      <c r="H787" s="36" t="n">
        <f aca="false">F787*G787</f>
        <v>25.65</v>
      </c>
      <c r="I787" s="36" t="n">
        <f aca="false">INDEX(Inventory!$D$2:$D$17,MATCH(C787,Inventory!$A$2:$A$17,0))</f>
        <v>0.55</v>
      </c>
      <c r="J787" s="36" t="n">
        <f aca="false">F787*I787</f>
        <v>14.85</v>
      </c>
      <c r="K787" s="36" t="n">
        <f aca="false">H787-J787</f>
        <v>10.8</v>
      </c>
    </row>
    <row r="788" customFormat="false" ht="15" hidden="false" customHeight="false" outlineLevel="0" collapsed="false">
      <c r="A788" s="41" t="n">
        <v>46253</v>
      </c>
      <c r="B788" s="42" t="n">
        <f aca="false">DATE(YEAR(A788),MONTH(A788),1)</f>
        <v>46235</v>
      </c>
      <c r="C788" s="3" t="s">
        <v>59</v>
      </c>
      <c r="D788" s="3" t="s">
        <v>60</v>
      </c>
      <c r="E788" s="3" t="s">
        <v>27</v>
      </c>
      <c r="F788" s="3" t="n">
        <v>37</v>
      </c>
      <c r="G788" s="36" t="n">
        <v>0.6</v>
      </c>
      <c r="H788" s="36" t="n">
        <f aca="false">F788*G788</f>
        <v>22.2</v>
      </c>
      <c r="I788" s="36" t="n">
        <f aca="false">INDEX(Inventory!$D$2:$D$17,MATCH(C788,Inventory!$A$2:$A$17,0))</f>
        <v>0.3</v>
      </c>
      <c r="J788" s="36" t="n">
        <f aca="false">F788*I788</f>
        <v>11.1</v>
      </c>
      <c r="K788" s="36" t="n">
        <f aca="false">H788-J788</f>
        <v>11.1</v>
      </c>
    </row>
    <row r="789" customFormat="false" ht="15" hidden="false" customHeight="false" outlineLevel="0" collapsed="false">
      <c r="A789" s="41" t="n">
        <v>46253</v>
      </c>
      <c r="B789" s="42" t="n">
        <f aca="false">DATE(YEAR(A789),MONTH(A789),1)</f>
        <v>46235</v>
      </c>
      <c r="C789" s="3" t="s">
        <v>57</v>
      </c>
      <c r="D789" s="3" t="s">
        <v>58</v>
      </c>
      <c r="E789" s="3" t="s">
        <v>27</v>
      </c>
      <c r="F789" s="3" t="n">
        <v>12</v>
      </c>
      <c r="G789" s="36" t="n">
        <v>1.5</v>
      </c>
      <c r="H789" s="36" t="n">
        <f aca="false">F789*G789</f>
        <v>18</v>
      </c>
      <c r="I789" s="36" t="n">
        <f aca="false">INDEX(Inventory!$D$2:$D$17,MATCH(C789,Inventory!$A$2:$A$17,0))</f>
        <v>0.9</v>
      </c>
      <c r="J789" s="36" t="n">
        <f aca="false">F789*I789</f>
        <v>10.8</v>
      </c>
      <c r="K789" s="36" t="n">
        <f aca="false">H789-J789</f>
        <v>7.2</v>
      </c>
    </row>
    <row r="790" customFormat="false" ht="15" hidden="false" customHeight="false" outlineLevel="0" collapsed="false">
      <c r="A790" s="41" t="n">
        <v>46253</v>
      </c>
      <c r="B790" s="42" t="n">
        <f aca="false">DATE(YEAR(A790),MONTH(A790),1)</f>
        <v>46235</v>
      </c>
      <c r="C790" s="3" t="s">
        <v>41</v>
      </c>
      <c r="D790" s="3" t="s">
        <v>42</v>
      </c>
      <c r="E790" s="3" t="s">
        <v>28</v>
      </c>
      <c r="F790" s="3" t="n">
        <v>16</v>
      </c>
      <c r="G790" s="36" t="n">
        <v>1.3</v>
      </c>
      <c r="H790" s="36" t="n">
        <f aca="false">F790*G790</f>
        <v>20.8</v>
      </c>
      <c r="I790" s="36" t="n">
        <f aca="false">INDEX(Inventory!$D$2:$D$17,MATCH(C790,Inventory!$A$2:$A$17,0))</f>
        <v>0.8</v>
      </c>
      <c r="J790" s="36" t="n">
        <f aca="false">F790*I790</f>
        <v>12.8</v>
      </c>
      <c r="K790" s="36" t="n">
        <f aca="false">H790-J790</f>
        <v>8</v>
      </c>
    </row>
    <row r="791" customFormat="false" ht="15" hidden="false" customHeight="false" outlineLevel="0" collapsed="false">
      <c r="A791" s="41" t="n">
        <v>46253</v>
      </c>
      <c r="B791" s="42" t="n">
        <f aca="false">DATE(YEAR(A791),MONTH(A791),1)</f>
        <v>46235</v>
      </c>
      <c r="C791" s="3" t="s">
        <v>63</v>
      </c>
      <c r="D791" s="3" t="s">
        <v>64</v>
      </c>
      <c r="E791" s="3" t="s">
        <v>28</v>
      </c>
      <c r="F791" s="3" t="n">
        <v>13</v>
      </c>
      <c r="G791" s="36" t="n">
        <v>0.9</v>
      </c>
      <c r="H791" s="36" t="n">
        <f aca="false">F791*G791</f>
        <v>11.7</v>
      </c>
      <c r="I791" s="36" t="n">
        <f aca="false">INDEX(Inventory!$D$2:$D$17,MATCH(C791,Inventory!$A$2:$A$17,0))</f>
        <v>0.5</v>
      </c>
      <c r="J791" s="36" t="n">
        <f aca="false">F791*I791</f>
        <v>6.5</v>
      </c>
      <c r="K791" s="36" t="n">
        <f aca="false">H791-J791</f>
        <v>5.2</v>
      </c>
    </row>
    <row r="792" customFormat="false" ht="15" hidden="false" customHeight="false" outlineLevel="0" collapsed="false">
      <c r="A792" s="41" t="n">
        <v>46253</v>
      </c>
      <c r="B792" s="42" t="n">
        <f aca="false">DATE(YEAR(A792),MONTH(A792),1)</f>
        <v>46235</v>
      </c>
      <c r="C792" s="3" t="s">
        <v>49</v>
      </c>
      <c r="D792" s="3" t="s">
        <v>50</v>
      </c>
      <c r="E792" s="3" t="s">
        <v>28</v>
      </c>
      <c r="F792" s="3" t="n">
        <v>21</v>
      </c>
      <c r="G792" s="36" t="n">
        <v>1.2</v>
      </c>
      <c r="H792" s="36" t="n">
        <f aca="false">F792*G792</f>
        <v>25.2</v>
      </c>
      <c r="I792" s="36" t="n">
        <f aca="false">INDEX(Inventory!$D$2:$D$17,MATCH(C792,Inventory!$A$2:$A$17,0))</f>
        <v>0.7</v>
      </c>
      <c r="J792" s="36" t="n">
        <f aca="false">F792*I792</f>
        <v>14.7</v>
      </c>
      <c r="K792" s="36" t="n">
        <f aca="false">H792-J792</f>
        <v>10.5</v>
      </c>
    </row>
    <row r="793" customFormat="false" ht="15" hidden="false" customHeight="false" outlineLevel="0" collapsed="false">
      <c r="A793" s="41" t="n">
        <v>46253</v>
      </c>
      <c r="B793" s="42" t="n">
        <f aca="false">DATE(YEAR(A793),MONTH(A793),1)</f>
        <v>46235</v>
      </c>
      <c r="C793" s="3" t="s">
        <v>51</v>
      </c>
      <c r="D793" s="3" t="s">
        <v>52</v>
      </c>
      <c r="E793" s="3" t="s">
        <v>28</v>
      </c>
      <c r="F793" s="3" t="n">
        <v>20</v>
      </c>
      <c r="G793" s="36" t="n">
        <v>0.85</v>
      </c>
      <c r="H793" s="36" t="n">
        <f aca="false">F793*G793</f>
        <v>17</v>
      </c>
      <c r="I793" s="36" t="n">
        <f aca="false">INDEX(Inventory!$D$2:$D$17,MATCH(C793,Inventory!$A$2:$A$17,0))</f>
        <v>0.45</v>
      </c>
      <c r="J793" s="36" t="n">
        <f aca="false">F793*I793</f>
        <v>9</v>
      </c>
      <c r="K793" s="36" t="n">
        <f aca="false">H793-J793</f>
        <v>8</v>
      </c>
    </row>
    <row r="794" customFormat="false" ht="15" hidden="false" customHeight="false" outlineLevel="0" collapsed="false">
      <c r="A794" s="41" t="n">
        <v>46253</v>
      </c>
      <c r="B794" s="42" t="n">
        <f aca="false">DATE(YEAR(A794),MONTH(A794),1)</f>
        <v>46235</v>
      </c>
      <c r="C794" s="3" t="s">
        <v>37</v>
      </c>
      <c r="D794" s="3" t="s">
        <v>38</v>
      </c>
      <c r="E794" s="3" t="s">
        <v>26</v>
      </c>
      <c r="F794" s="3" t="n">
        <v>34</v>
      </c>
      <c r="G794" s="36" t="n">
        <v>1.2</v>
      </c>
      <c r="H794" s="36" t="n">
        <f aca="false">F794*G794</f>
        <v>40.8</v>
      </c>
      <c r="I794" s="36" t="n">
        <f aca="false">INDEX(Inventory!$D$2:$D$17,MATCH(C794,Inventory!$A$2:$A$17,0))</f>
        <v>0.85</v>
      </c>
      <c r="J794" s="36" t="n">
        <f aca="false">F794*I794</f>
        <v>28.9</v>
      </c>
      <c r="K794" s="36" t="n">
        <f aca="false">H794-J794</f>
        <v>11.9</v>
      </c>
    </row>
    <row r="795" customFormat="false" ht="15" hidden="false" customHeight="false" outlineLevel="0" collapsed="false">
      <c r="A795" s="41" t="n">
        <v>46253</v>
      </c>
      <c r="B795" s="42" t="n">
        <f aca="false">DATE(YEAR(A795),MONTH(A795),1)</f>
        <v>46235</v>
      </c>
      <c r="C795" s="3" t="s">
        <v>47</v>
      </c>
      <c r="D795" s="3" t="s">
        <v>48</v>
      </c>
      <c r="E795" s="3" t="s">
        <v>26</v>
      </c>
      <c r="F795" s="3" t="n">
        <v>7</v>
      </c>
      <c r="G795" s="36" t="n">
        <v>2.2</v>
      </c>
      <c r="H795" s="36" t="n">
        <f aca="false">F795*G795</f>
        <v>15.4</v>
      </c>
      <c r="I795" s="36" t="n">
        <f aca="false">INDEX(Inventory!$D$2:$D$17,MATCH(C795,Inventory!$A$2:$A$17,0))</f>
        <v>1.4</v>
      </c>
      <c r="J795" s="36" t="n">
        <f aca="false">F795*I795</f>
        <v>9.8</v>
      </c>
      <c r="K795" s="36" t="n">
        <f aca="false">H795-J795</f>
        <v>5.6</v>
      </c>
    </row>
    <row r="796" customFormat="false" ht="15" hidden="false" customHeight="false" outlineLevel="0" collapsed="false">
      <c r="A796" s="41" t="n">
        <v>46253</v>
      </c>
      <c r="B796" s="42" t="n">
        <f aca="false">DATE(YEAR(A796),MONTH(A796),1)</f>
        <v>46235</v>
      </c>
      <c r="C796" s="3" t="s">
        <v>43</v>
      </c>
      <c r="D796" s="3" t="s">
        <v>44</v>
      </c>
      <c r="E796" s="3" t="s">
        <v>26</v>
      </c>
      <c r="F796" s="3" t="n">
        <v>7</v>
      </c>
      <c r="G796" s="36" t="n">
        <v>3.8</v>
      </c>
      <c r="H796" s="36" t="n">
        <f aca="false">F796*G796</f>
        <v>26.6</v>
      </c>
      <c r="I796" s="36" t="n">
        <f aca="false">INDEX(Inventory!$D$2:$D$17,MATCH(C796,Inventory!$A$2:$A$17,0))</f>
        <v>2.6</v>
      </c>
      <c r="J796" s="36" t="n">
        <f aca="false">F796*I796</f>
        <v>18.2</v>
      </c>
      <c r="K796" s="36" t="n">
        <f aca="false">H796-J796</f>
        <v>8.4</v>
      </c>
    </row>
    <row r="797" customFormat="false" ht="15" hidden="false" customHeight="false" outlineLevel="0" collapsed="false">
      <c r="A797" s="41" t="n">
        <v>46253</v>
      </c>
      <c r="B797" s="42" t="n">
        <f aca="false">DATE(YEAR(A797),MONTH(A797),1)</f>
        <v>46235</v>
      </c>
      <c r="C797" s="3" t="s">
        <v>67</v>
      </c>
      <c r="D797" s="3" t="s">
        <v>68</v>
      </c>
      <c r="E797" s="3" t="s">
        <v>26</v>
      </c>
      <c r="F797" s="3" t="n">
        <v>9</v>
      </c>
      <c r="G797" s="36" t="n">
        <v>1.9</v>
      </c>
      <c r="H797" s="36" t="n">
        <f aca="false">F797*G797</f>
        <v>17.1</v>
      </c>
      <c r="I797" s="36" t="n">
        <f aca="false">INDEX(Inventory!$D$2:$D$17,MATCH(C797,Inventory!$A$2:$A$17,0))</f>
        <v>1.3</v>
      </c>
      <c r="J797" s="36" t="n">
        <f aca="false">F797*I797</f>
        <v>11.7</v>
      </c>
      <c r="K797" s="36" t="n">
        <f aca="false">H797-J797</f>
        <v>5.4</v>
      </c>
    </row>
    <row r="798" customFormat="false" ht="15" hidden="false" customHeight="false" outlineLevel="0" collapsed="false">
      <c r="A798" s="41" t="n">
        <v>46253</v>
      </c>
      <c r="B798" s="42" t="n">
        <f aca="false">DATE(YEAR(A798),MONTH(A798),1)</f>
        <v>46235</v>
      </c>
      <c r="C798" s="3" t="s">
        <v>61</v>
      </c>
      <c r="D798" s="3" t="s">
        <v>62</v>
      </c>
      <c r="E798" s="3" t="s">
        <v>29</v>
      </c>
      <c r="F798" s="3" t="n">
        <v>5</v>
      </c>
      <c r="G798" s="36" t="n">
        <v>1.9</v>
      </c>
      <c r="H798" s="36" t="n">
        <f aca="false">F798*G798</f>
        <v>9.5</v>
      </c>
      <c r="I798" s="36" t="n">
        <f aca="false">INDEX(Inventory!$D$2:$D$17,MATCH(C798,Inventory!$A$2:$A$17,0))</f>
        <v>1.1</v>
      </c>
      <c r="J798" s="36" t="n">
        <f aca="false">F798*I798</f>
        <v>5.5</v>
      </c>
      <c r="K798" s="36" t="n">
        <f aca="false">H798-J798</f>
        <v>4</v>
      </c>
    </row>
    <row r="799" customFormat="false" ht="15" hidden="false" customHeight="false" outlineLevel="0" collapsed="false">
      <c r="A799" s="41" t="n">
        <v>46253</v>
      </c>
      <c r="B799" s="42" t="n">
        <f aca="false">DATE(YEAR(A799),MONTH(A799),1)</f>
        <v>46235</v>
      </c>
      <c r="C799" s="3" t="s">
        <v>45</v>
      </c>
      <c r="D799" s="3" t="s">
        <v>46</v>
      </c>
      <c r="E799" s="3" t="s">
        <v>29</v>
      </c>
      <c r="F799" s="3" t="n">
        <v>7</v>
      </c>
      <c r="G799" s="36" t="n">
        <v>5.2</v>
      </c>
      <c r="H799" s="36" t="n">
        <f aca="false">F799*G799</f>
        <v>36.4</v>
      </c>
      <c r="I799" s="36" t="n">
        <f aca="false">INDEX(Inventory!$D$2:$D$17,MATCH(C799,Inventory!$A$2:$A$17,0))</f>
        <v>3.5</v>
      </c>
      <c r="J799" s="36" t="n">
        <f aca="false">F799*I799</f>
        <v>24.5</v>
      </c>
      <c r="K799" s="36" t="n">
        <f aca="false">H799-J799</f>
        <v>11.9</v>
      </c>
    </row>
    <row r="800" customFormat="false" ht="15" hidden="false" customHeight="false" outlineLevel="0" collapsed="false">
      <c r="A800" s="41" t="n">
        <v>46253</v>
      </c>
      <c r="B800" s="42" t="n">
        <f aca="false">DATE(YEAR(A800),MONTH(A800),1)</f>
        <v>46235</v>
      </c>
      <c r="C800" s="3" t="s">
        <v>65</v>
      </c>
      <c r="D800" s="3" t="s">
        <v>66</v>
      </c>
      <c r="E800" s="3" t="s">
        <v>29</v>
      </c>
      <c r="F800" s="3" t="n">
        <v>5</v>
      </c>
      <c r="G800" s="36" t="n">
        <v>1.5</v>
      </c>
      <c r="H800" s="36" t="n">
        <f aca="false">F800*G800</f>
        <v>7.5</v>
      </c>
      <c r="I800" s="36" t="n">
        <f aca="false">INDEX(Inventory!$D$2:$D$17,MATCH(C800,Inventory!$A$2:$A$17,0))</f>
        <v>0.9</v>
      </c>
      <c r="J800" s="36" t="n">
        <f aca="false">F800*I800</f>
        <v>4.5</v>
      </c>
      <c r="K800" s="36" t="n">
        <f aca="false">H800-J800</f>
        <v>3</v>
      </c>
    </row>
    <row r="801" customFormat="false" ht="15" hidden="false" customHeight="false" outlineLevel="0" collapsed="false">
      <c r="A801" s="41" t="n">
        <v>46253</v>
      </c>
      <c r="B801" s="42" t="n">
        <f aca="false">DATE(YEAR(A801),MONTH(A801),1)</f>
        <v>46235</v>
      </c>
      <c r="C801" s="3" t="s">
        <v>55</v>
      </c>
      <c r="D801" s="3" t="s">
        <v>56</v>
      </c>
      <c r="E801" s="3" t="s">
        <v>29</v>
      </c>
      <c r="F801" s="3" t="n">
        <v>7</v>
      </c>
      <c r="G801" s="36" t="n">
        <v>2.5</v>
      </c>
      <c r="H801" s="36" t="n">
        <f aca="false">F801*G801</f>
        <v>17.5</v>
      </c>
      <c r="I801" s="36" t="n">
        <f aca="false">INDEX(Inventory!$D$2:$D$17,MATCH(C801,Inventory!$A$2:$A$17,0))</f>
        <v>1.6</v>
      </c>
      <c r="J801" s="36" t="n">
        <f aca="false">F801*I801</f>
        <v>11.2</v>
      </c>
      <c r="K801" s="36" t="n">
        <f aca="false">H801-J801</f>
        <v>6.3</v>
      </c>
    </row>
    <row r="802" customFormat="false" ht="15" hidden="false" customHeight="false" outlineLevel="0" collapsed="false">
      <c r="A802" s="41" t="n">
        <v>46254</v>
      </c>
      <c r="B802" s="42" t="n">
        <f aca="false">DATE(YEAR(A802),MONTH(A802),1)</f>
        <v>46235</v>
      </c>
      <c r="C802" s="3" t="s">
        <v>39</v>
      </c>
      <c r="D802" s="3" t="s">
        <v>40</v>
      </c>
      <c r="E802" s="3" t="s">
        <v>27</v>
      </c>
      <c r="F802" s="3" t="n">
        <v>26</v>
      </c>
      <c r="G802" s="36" t="n">
        <v>1</v>
      </c>
      <c r="H802" s="36" t="n">
        <f aca="false">F802*G802</f>
        <v>26</v>
      </c>
      <c r="I802" s="36" t="n">
        <f aca="false">INDEX(Inventory!$D$2:$D$17,MATCH(C802,Inventory!$A$2:$A$17,0))</f>
        <v>0.6</v>
      </c>
      <c r="J802" s="36" t="n">
        <f aca="false">F802*I802</f>
        <v>15.6</v>
      </c>
      <c r="K802" s="36" t="n">
        <f aca="false">H802-J802</f>
        <v>10.4</v>
      </c>
    </row>
    <row r="803" customFormat="false" ht="15" hidden="false" customHeight="false" outlineLevel="0" collapsed="false">
      <c r="A803" s="41" t="n">
        <v>46254</v>
      </c>
      <c r="B803" s="42" t="n">
        <f aca="false">DATE(YEAR(A803),MONTH(A803),1)</f>
        <v>46235</v>
      </c>
      <c r="C803" s="3" t="s">
        <v>53</v>
      </c>
      <c r="D803" s="3" t="s">
        <v>54</v>
      </c>
      <c r="E803" s="3" t="s">
        <v>27</v>
      </c>
      <c r="F803" s="3" t="n">
        <v>22</v>
      </c>
      <c r="G803" s="36" t="n">
        <v>0.95</v>
      </c>
      <c r="H803" s="36" t="n">
        <f aca="false">F803*G803</f>
        <v>20.9</v>
      </c>
      <c r="I803" s="36" t="n">
        <f aca="false">INDEX(Inventory!$D$2:$D$17,MATCH(C803,Inventory!$A$2:$A$17,0))</f>
        <v>0.55</v>
      </c>
      <c r="J803" s="36" t="n">
        <f aca="false">F803*I803</f>
        <v>12.1</v>
      </c>
      <c r="K803" s="36" t="n">
        <f aca="false">H803-J803</f>
        <v>8.8</v>
      </c>
    </row>
    <row r="804" customFormat="false" ht="15" hidden="false" customHeight="false" outlineLevel="0" collapsed="false">
      <c r="A804" s="41" t="n">
        <v>46254</v>
      </c>
      <c r="B804" s="42" t="n">
        <f aca="false">DATE(YEAR(A804),MONTH(A804),1)</f>
        <v>46235</v>
      </c>
      <c r="C804" s="3" t="s">
        <v>59</v>
      </c>
      <c r="D804" s="3" t="s">
        <v>60</v>
      </c>
      <c r="E804" s="3" t="s">
        <v>27</v>
      </c>
      <c r="F804" s="3" t="n">
        <v>8</v>
      </c>
      <c r="G804" s="36" t="n">
        <v>0.6</v>
      </c>
      <c r="H804" s="36" t="n">
        <f aca="false">F804*G804</f>
        <v>4.8</v>
      </c>
      <c r="I804" s="36" t="n">
        <f aca="false">INDEX(Inventory!$D$2:$D$17,MATCH(C804,Inventory!$A$2:$A$17,0))</f>
        <v>0.3</v>
      </c>
      <c r="J804" s="36" t="n">
        <f aca="false">F804*I804</f>
        <v>2.4</v>
      </c>
      <c r="K804" s="36" t="n">
        <f aca="false">H804-J804</f>
        <v>2.4</v>
      </c>
    </row>
    <row r="805" customFormat="false" ht="15" hidden="false" customHeight="false" outlineLevel="0" collapsed="false">
      <c r="A805" s="41" t="n">
        <v>46254</v>
      </c>
      <c r="B805" s="42" t="n">
        <f aca="false">DATE(YEAR(A805),MONTH(A805),1)</f>
        <v>46235</v>
      </c>
      <c r="C805" s="3" t="s">
        <v>57</v>
      </c>
      <c r="D805" s="3" t="s">
        <v>58</v>
      </c>
      <c r="E805" s="3" t="s">
        <v>27</v>
      </c>
      <c r="F805" s="3" t="n">
        <v>7</v>
      </c>
      <c r="G805" s="36" t="n">
        <v>1.5</v>
      </c>
      <c r="H805" s="36" t="n">
        <f aca="false">F805*G805</f>
        <v>10.5</v>
      </c>
      <c r="I805" s="36" t="n">
        <f aca="false">INDEX(Inventory!$D$2:$D$17,MATCH(C805,Inventory!$A$2:$A$17,0))</f>
        <v>0.9</v>
      </c>
      <c r="J805" s="36" t="n">
        <f aca="false">F805*I805</f>
        <v>6.3</v>
      </c>
      <c r="K805" s="36" t="n">
        <f aca="false">H805-J805</f>
        <v>4.2</v>
      </c>
    </row>
    <row r="806" customFormat="false" ht="15" hidden="false" customHeight="false" outlineLevel="0" collapsed="false">
      <c r="A806" s="41" t="n">
        <v>46254</v>
      </c>
      <c r="B806" s="42" t="n">
        <f aca="false">DATE(YEAR(A806),MONTH(A806),1)</f>
        <v>46235</v>
      </c>
      <c r="C806" s="3" t="s">
        <v>41</v>
      </c>
      <c r="D806" s="3" t="s">
        <v>42</v>
      </c>
      <c r="E806" s="3" t="s">
        <v>28</v>
      </c>
      <c r="F806" s="3" t="n">
        <v>18</v>
      </c>
      <c r="G806" s="36" t="n">
        <v>1.3</v>
      </c>
      <c r="H806" s="36" t="n">
        <f aca="false">F806*G806</f>
        <v>23.4</v>
      </c>
      <c r="I806" s="36" t="n">
        <f aca="false">INDEX(Inventory!$D$2:$D$17,MATCH(C806,Inventory!$A$2:$A$17,0))</f>
        <v>0.8</v>
      </c>
      <c r="J806" s="36" t="n">
        <f aca="false">F806*I806</f>
        <v>14.4</v>
      </c>
      <c r="K806" s="36" t="n">
        <f aca="false">H806-J806</f>
        <v>9</v>
      </c>
    </row>
    <row r="807" customFormat="false" ht="15" hidden="false" customHeight="false" outlineLevel="0" collapsed="false">
      <c r="A807" s="41" t="n">
        <v>46254</v>
      </c>
      <c r="B807" s="42" t="n">
        <f aca="false">DATE(YEAR(A807),MONTH(A807),1)</f>
        <v>46235</v>
      </c>
      <c r="C807" s="3" t="s">
        <v>63</v>
      </c>
      <c r="D807" s="3" t="s">
        <v>64</v>
      </c>
      <c r="E807" s="3" t="s">
        <v>28</v>
      </c>
      <c r="F807" s="3" t="n">
        <v>15</v>
      </c>
      <c r="G807" s="36" t="n">
        <v>0.9</v>
      </c>
      <c r="H807" s="36" t="n">
        <f aca="false">F807*G807</f>
        <v>13.5</v>
      </c>
      <c r="I807" s="36" t="n">
        <f aca="false">INDEX(Inventory!$D$2:$D$17,MATCH(C807,Inventory!$A$2:$A$17,0))</f>
        <v>0.5</v>
      </c>
      <c r="J807" s="36" t="n">
        <f aca="false">F807*I807</f>
        <v>7.5</v>
      </c>
      <c r="K807" s="36" t="n">
        <f aca="false">H807-J807</f>
        <v>6</v>
      </c>
    </row>
    <row r="808" customFormat="false" ht="15" hidden="false" customHeight="false" outlineLevel="0" collapsed="false">
      <c r="A808" s="41" t="n">
        <v>46254</v>
      </c>
      <c r="B808" s="42" t="n">
        <f aca="false">DATE(YEAR(A808),MONTH(A808),1)</f>
        <v>46235</v>
      </c>
      <c r="C808" s="3" t="s">
        <v>49</v>
      </c>
      <c r="D808" s="3" t="s">
        <v>50</v>
      </c>
      <c r="E808" s="3" t="s">
        <v>28</v>
      </c>
      <c r="F808" s="3" t="n">
        <v>13</v>
      </c>
      <c r="G808" s="36" t="n">
        <v>1.2</v>
      </c>
      <c r="H808" s="36" t="n">
        <f aca="false">F808*G808</f>
        <v>15.6</v>
      </c>
      <c r="I808" s="36" t="n">
        <f aca="false">INDEX(Inventory!$D$2:$D$17,MATCH(C808,Inventory!$A$2:$A$17,0))</f>
        <v>0.7</v>
      </c>
      <c r="J808" s="36" t="n">
        <f aca="false">F808*I808</f>
        <v>9.1</v>
      </c>
      <c r="K808" s="36" t="n">
        <f aca="false">H808-J808</f>
        <v>6.5</v>
      </c>
    </row>
    <row r="809" customFormat="false" ht="15" hidden="false" customHeight="false" outlineLevel="0" collapsed="false">
      <c r="A809" s="41" t="n">
        <v>46254</v>
      </c>
      <c r="B809" s="42" t="n">
        <f aca="false">DATE(YEAR(A809),MONTH(A809),1)</f>
        <v>46235</v>
      </c>
      <c r="C809" s="3" t="s">
        <v>51</v>
      </c>
      <c r="D809" s="3" t="s">
        <v>52</v>
      </c>
      <c r="E809" s="3" t="s">
        <v>28</v>
      </c>
      <c r="F809" s="3" t="n">
        <v>22</v>
      </c>
      <c r="G809" s="36" t="n">
        <v>0.85</v>
      </c>
      <c r="H809" s="36" t="n">
        <f aca="false">F809*G809</f>
        <v>18.7</v>
      </c>
      <c r="I809" s="36" t="n">
        <f aca="false">INDEX(Inventory!$D$2:$D$17,MATCH(C809,Inventory!$A$2:$A$17,0))</f>
        <v>0.45</v>
      </c>
      <c r="J809" s="36" t="n">
        <f aca="false">F809*I809</f>
        <v>9.9</v>
      </c>
      <c r="K809" s="36" t="n">
        <f aca="false">H809-J809</f>
        <v>8.8</v>
      </c>
    </row>
    <row r="810" customFormat="false" ht="15" hidden="false" customHeight="false" outlineLevel="0" collapsed="false">
      <c r="A810" s="41" t="n">
        <v>46254</v>
      </c>
      <c r="B810" s="42" t="n">
        <f aca="false">DATE(YEAR(A810),MONTH(A810),1)</f>
        <v>46235</v>
      </c>
      <c r="C810" s="3" t="s">
        <v>37</v>
      </c>
      <c r="D810" s="3" t="s">
        <v>38</v>
      </c>
      <c r="E810" s="3" t="s">
        <v>26</v>
      </c>
      <c r="F810" s="3" t="n">
        <v>18</v>
      </c>
      <c r="G810" s="36" t="n">
        <v>1.2</v>
      </c>
      <c r="H810" s="36" t="n">
        <f aca="false">F810*G810</f>
        <v>21.6</v>
      </c>
      <c r="I810" s="36" t="n">
        <f aca="false">INDEX(Inventory!$D$2:$D$17,MATCH(C810,Inventory!$A$2:$A$17,0))</f>
        <v>0.85</v>
      </c>
      <c r="J810" s="36" t="n">
        <f aca="false">F810*I810</f>
        <v>15.3</v>
      </c>
      <c r="K810" s="36" t="n">
        <f aca="false">H810-J810</f>
        <v>6.3</v>
      </c>
    </row>
    <row r="811" customFormat="false" ht="15" hidden="false" customHeight="false" outlineLevel="0" collapsed="false">
      <c r="A811" s="41" t="n">
        <v>46254</v>
      </c>
      <c r="B811" s="42" t="n">
        <f aca="false">DATE(YEAR(A811),MONTH(A811),1)</f>
        <v>46235</v>
      </c>
      <c r="C811" s="3" t="s">
        <v>47</v>
      </c>
      <c r="D811" s="3" t="s">
        <v>48</v>
      </c>
      <c r="E811" s="3" t="s">
        <v>26</v>
      </c>
      <c r="F811" s="3" t="n">
        <v>9</v>
      </c>
      <c r="G811" s="36" t="n">
        <v>2.2</v>
      </c>
      <c r="H811" s="36" t="n">
        <f aca="false">F811*G811</f>
        <v>19.8</v>
      </c>
      <c r="I811" s="36" t="n">
        <f aca="false">INDEX(Inventory!$D$2:$D$17,MATCH(C811,Inventory!$A$2:$A$17,0))</f>
        <v>1.4</v>
      </c>
      <c r="J811" s="36" t="n">
        <f aca="false">F811*I811</f>
        <v>12.6</v>
      </c>
      <c r="K811" s="36" t="n">
        <f aca="false">H811-J811</f>
        <v>7.2</v>
      </c>
    </row>
    <row r="812" customFormat="false" ht="15" hidden="false" customHeight="false" outlineLevel="0" collapsed="false">
      <c r="A812" s="41" t="n">
        <v>46254</v>
      </c>
      <c r="B812" s="42" t="n">
        <f aca="false">DATE(YEAR(A812),MONTH(A812),1)</f>
        <v>46235</v>
      </c>
      <c r="C812" s="3" t="s">
        <v>43</v>
      </c>
      <c r="D812" s="3" t="s">
        <v>44</v>
      </c>
      <c r="E812" s="3" t="s">
        <v>26</v>
      </c>
      <c r="F812" s="3" t="n">
        <v>6</v>
      </c>
      <c r="G812" s="36" t="n">
        <v>3.8</v>
      </c>
      <c r="H812" s="36" t="n">
        <f aca="false">F812*G812</f>
        <v>22.8</v>
      </c>
      <c r="I812" s="36" t="n">
        <f aca="false">INDEX(Inventory!$D$2:$D$17,MATCH(C812,Inventory!$A$2:$A$17,0))</f>
        <v>2.6</v>
      </c>
      <c r="J812" s="36" t="n">
        <f aca="false">F812*I812</f>
        <v>15.6</v>
      </c>
      <c r="K812" s="36" t="n">
        <f aca="false">H812-J812</f>
        <v>7.2</v>
      </c>
    </row>
    <row r="813" customFormat="false" ht="15" hidden="false" customHeight="false" outlineLevel="0" collapsed="false">
      <c r="A813" s="41" t="n">
        <v>46254</v>
      </c>
      <c r="B813" s="42" t="n">
        <f aca="false">DATE(YEAR(A813),MONTH(A813),1)</f>
        <v>46235</v>
      </c>
      <c r="C813" s="3" t="s">
        <v>67</v>
      </c>
      <c r="D813" s="3" t="s">
        <v>68</v>
      </c>
      <c r="E813" s="3" t="s">
        <v>26</v>
      </c>
      <c r="F813" s="3" t="n">
        <v>7</v>
      </c>
      <c r="G813" s="36" t="n">
        <v>1.9</v>
      </c>
      <c r="H813" s="36" t="n">
        <f aca="false">F813*G813</f>
        <v>13.3</v>
      </c>
      <c r="I813" s="36" t="n">
        <f aca="false">INDEX(Inventory!$D$2:$D$17,MATCH(C813,Inventory!$A$2:$A$17,0))</f>
        <v>1.3</v>
      </c>
      <c r="J813" s="36" t="n">
        <f aca="false">F813*I813</f>
        <v>9.1</v>
      </c>
      <c r="K813" s="36" t="n">
        <f aca="false">H813-J813</f>
        <v>4.2</v>
      </c>
    </row>
    <row r="814" customFormat="false" ht="15" hidden="false" customHeight="false" outlineLevel="0" collapsed="false">
      <c r="A814" s="41" t="n">
        <v>46254</v>
      </c>
      <c r="B814" s="42" t="n">
        <f aca="false">DATE(YEAR(A814),MONTH(A814),1)</f>
        <v>46235</v>
      </c>
      <c r="C814" s="3" t="s">
        <v>61</v>
      </c>
      <c r="D814" s="3" t="s">
        <v>62</v>
      </c>
      <c r="E814" s="3" t="s">
        <v>29</v>
      </c>
      <c r="F814" s="3" t="n">
        <v>11</v>
      </c>
      <c r="G814" s="36" t="n">
        <v>1.9</v>
      </c>
      <c r="H814" s="36" t="n">
        <f aca="false">F814*G814</f>
        <v>20.9</v>
      </c>
      <c r="I814" s="36" t="n">
        <f aca="false">INDEX(Inventory!$D$2:$D$17,MATCH(C814,Inventory!$A$2:$A$17,0))</f>
        <v>1.1</v>
      </c>
      <c r="J814" s="36" t="n">
        <f aca="false">F814*I814</f>
        <v>12.1</v>
      </c>
      <c r="K814" s="36" t="n">
        <f aca="false">H814-J814</f>
        <v>8.8</v>
      </c>
    </row>
    <row r="815" customFormat="false" ht="15" hidden="false" customHeight="false" outlineLevel="0" collapsed="false">
      <c r="A815" s="41" t="n">
        <v>46254</v>
      </c>
      <c r="B815" s="42" t="n">
        <f aca="false">DATE(YEAR(A815),MONTH(A815),1)</f>
        <v>46235</v>
      </c>
      <c r="C815" s="3" t="s">
        <v>45</v>
      </c>
      <c r="D815" s="3" t="s">
        <v>46</v>
      </c>
      <c r="E815" s="3" t="s">
        <v>29</v>
      </c>
      <c r="F815" s="3" t="n">
        <v>7</v>
      </c>
      <c r="G815" s="36" t="n">
        <v>5.2</v>
      </c>
      <c r="H815" s="36" t="n">
        <f aca="false">F815*G815</f>
        <v>36.4</v>
      </c>
      <c r="I815" s="36" t="n">
        <f aca="false">INDEX(Inventory!$D$2:$D$17,MATCH(C815,Inventory!$A$2:$A$17,0))</f>
        <v>3.5</v>
      </c>
      <c r="J815" s="36" t="n">
        <f aca="false">F815*I815</f>
        <v>24.5</v>
      </c>
      <c r="K815" s="36" t="n">
        <f aca="false">H815-J815</f>
        <v>11.9</v>
      </c>
    </row>
    <row r="816" customFormat="false" ht="15" hidden="false" customHeight="false" outlineLevel="0" collapsed="false">
      <c r="A816" s="41" t="n">
        <v>46254</v>
      </c>
      <c r="B816" s="42" t="n">
        <f aca="false">DATE(YEAR(A816),MONTH(A816),1)</f>
        <v>46235</v>
      </c>
      <c r="C816" s="3" t="s">
        <v>65</v>
      </c>
      <c r="D816" s="3" t="s">
        <v>66</v>
      </c>
      <c r="E816" s="3" t="s">
        <v>29</v>
      </c>
      <c r="F816" s="3" t="n">
        <v>7</v>
      </c>
      <c r="G816" s="36" t="n">
        <v>1.5</v>
      </c>
      <c r="H816" s="36" t="n">
        <f aca="false">F816*G816</f>
        <v>10.5</v>
      </c>
      <c r="I816" s="36" t="n">
        <f aca="false">INDEX(Inventory!$D$2:$D$17,MATCH(C816,Inventory!$A$2:$A$17,0))</f>
        <v>0.9</v>
      </c>
      <c r="J816" s="36" t="n">
        <f aca="false">F816*I816</f>
        <v>6.3</v>
      </c>
      <c r="K816" s="36" t="n">
        <f aca="false">H816-J816</f>
        <v>4.2</v>
      </c>
    </row>
    <row r="817" customFormat="false" ht="15" hidden="false" customHeight="false" outlineLevel="0" collapsed="false">
      <c r="A817" s="41" t="n">
        <v>46254</v>
      </c>
      <c r="B817" s="42" t="n">
        <f aca="false">DATE(YEAR(A817),MONTH(A817),1)</f>
        <v>46235</v>
      </c>
      <c r="C817" s="3" t="s">
        <v>55</v>
      </c>
      <c r="D817" s="3" t="s">
        <v>56</v>
      </c>
      <c r="E817" s="3" t="s">
        <v>29</v>
      </c>
      <c r="F817" s="3" t="n">
        <v>7</v>
      </c>
      <c r="G817" s="36" t="n">
        <v>2.5</v>
      </c>
      <c r="H817" s="36" t="n">
        <f aca="false">F817*G817</f>
        <v>17.5</v>
      </c>
      <c r="I817" s="36" t="n">
        <f aca="false">INDEX(Inventory!$D$2:$D$17,MATCH(C817,Inventory!$A$2:$A$17,0))</f>
        <v>1.6</v>
      </c>
      <c r="J817" s="36" t="n">
        <f aca="false">F817*I817</f>
        <v>11.2</v>
      </c>
      <c r="K817" s="36" t="n">
        <f aca="false">H817-J817</f>
        <v>6.3</v>
      </c>
    </row>
    <row r="818" customFormat="false" ht="15" hidden="false" customHeight="false" outlineLevel="0" collapsed="false">
      <c r="A818" s="41" t="n">
        <v>46255</v>
      </c>
      <c r="B818" s="42" t="n">
        <f aca="false">DATE(YEAR(A818),MONTH(A818),1)</f>
        <v>46235</v>
      </c>
      <c r="C818" s="3" t="s">
        <v>39</v>
      </c>
      <c r="D818" s="3" t="s">
        <v>40</v>
      </c>
      <c r="E818" s="3" t="s">
        <v>27</v>
      </c>
      <c r="F818" s="3" t="n">
        <v>31</v>
      </c>
      <c r="G818" s="36" t="n">
        <v>1</v>
      </c>
      <c r="H818" s="36" t="n">
        <f aca="false">F818*G818</f>
        <v>31</v>
      </c>
      <c r="I818" s="36" t="n">
        <f aca="false">INDEX(Inventory!$D$2:$D$17,MATCH(C818,Inventory!$A$2:$A$17,0))</f>
        <v>0.6</v>
      </c>
      <c r="J818" s="36" t="n">
        <f aca="false">F818*I818</f>
        <v>18.6</v>
      </c>
      <c r="K818" s="36" t="n">
        <f aca="false">H818-J818</f>
        <v>12.4</v>
      </c>
    </row>
    <row r="819" customFormat="false" ht="15" hidden="false" customHeight="false" outlineLevel="0" collapsed="false">
      <c r="A819" s="41" t="n">
        <v>46255</v>
      </c>
      <c r="B819" s="42" t="n">
        <f aca="false">DATE(YEAR(A819),MONTH(A819),1)</f>
        <v>46235</v>
      </c>
      <c r="C819" s="3" t="s">
        <v>53</v>
      </c>
      <c r="D819" s="3" t="s">
        <v>54</v>
      </c>
      <c r="E819" s="3" t="s">
        <v>27</v>
      </c>
      <c r="F819" s="3" t="n">
        <v>20</v>
      </c>
      <c r="G819" s="36" t="n">
        <v>0.95</v>
      </c>
      <c r="H819" s="36" t="n">
        <f aca="false">F819*G819</f>
        <v>19</v>
      </c>
      <c r="I819" s="36" t="n">
        <f aca="false">INDEX(Inventory!$D$2:$D$17,MATCH(C819,Inventory!$A$2:$A$17,0))</f>
        <v>0.55</v>
      </c>
      <c r="J819" s="36" t="n">
        <f aca="false">F819*I819</f>
        <v>11</v>
      </c>
      <c r="K819" s="36" t="n">
        <f aca="false">H819-J819</f>
        <v>8</v>
      </c>
    </row>
    <row r="820" customFormat="false" ht="15" hidden="false" customHeight="false" outlineLevel="0" collapsed="false">
      <c r="A820" s="41" t="n">
        <v>46255</v>
      </c>
      <c r="B820" s="42" t="n">
        <f aca="false">DATE(YEAR(A820),MONTH(A820),1)</f>
        <v>46235</v>
      </c>
      <c r="C820" s="3" t="s">
        <v>59</v>
      </c>
      <c r="D820" s="3" t="s">
        <v>60</v>
      </c>
      <c r="E820" s="3" t="s">
        <v>27</v>
      </c>
      <c r="F820" s="3" t="n">
        <v>35</v>
      </c>
      <c r="G820" s="36" t="n">
        <v>0.6</v>
      </c>
      <c r="H820" s="36" t="n">
        <f aca="false">F820*G820</f>
        <v>21</v>
      </c>
      <c r="I820" s="36" t="n">
        <f aca="false">INDEX(Inventory!$D$2:$D$17,MATCH(C820,Inventory!$A$2:$A$17,0))</f>
        <v>0.3</v>
      </c>
      <c r="J820" s="36" t="n">
        <f aca="false">F820*I820</f>
        <v>10.5</v>
      </c>
      <c r="K820" s="36" t="n">
        <f aca="false">H820-J820</f>
        <v>10.5</v>
      </c>
    </row>
    <row r="821" customFormat="false" ht="15" hidden="false" customHeight="false" outlineLevel="0" collapsed="false">
      <c r="A821" s="41" t="n">
        <v>46255</v>
      </c>
      <c r="B821" s="42" t="n">
        <f aca="false">DATE(YEAR(A821),MONTH(A821),1)</f>
        <v>46235</v>
      </c>
      <c r="C821" s="3" t="s">
        <v>57</v>
      </c>
      <c r="D821" s="3" t="s">
        <v>58</v>
      </c>
      <c r="E821" s="3" t="s">
        <v>27</v>
      </c>
      <c r="F821" s="3" t="n">
        <v>10</v>
      </c>
      <c r="G821" s="36" t="n">
        <v>1.5</v>
      </c>
      <c r="H821" s="36" t="n">
        <f aca="false">F821*G821</f>
        <v>15</v>
      </c>
      <c r="I821" s="36" t="n">
        <f aca="false">INDEX(Inventory!$D$2:$D$17,MATCH(C821,Inventory!$A$2:$A$17,0))</f>
        <v>0.9</v>
      </c>
      <c r="J821" s="36" t="n">
        <f aca="false">F821*I821</f>
        <v>9</v>
      </c>
      <c r="K821" s="36" t="n">
        <f aca="false">H821-J821</f>
        <v>6</v>
      </c>
    </row>
    <row r="822" customFormat="false" ht="15" hidden="false" customHeight="false" outlineLevel="0" collapsed="false">
      <c r="A822" s="41" t="n">
        <v>46255</v>
      </c>
      <c r="B822" s="42" t="n">
        <f aca="false">DATE(YEAR(A822),MONTH(A822),1)</f>
        <v>46235</v>
      </c>
      <c r="C822" s="3" t="s">
        <v>41</v>
      </c>
      <c r="D822" s="3" t="s">
        <v>42</v>
      </c>
      <c r="E822" s="3" t="s">
        <v>28</v>
      </c>
      <c r="F822" s="3" t="n">
        <v>26</v>
      </c>
      <c r="G822" s="36" t="n">
        <v>1.3</v>
      </c>
      <c r="H822" s="36" t="n">
        <f aca="false">F822*G822</f>
        <v>33.8</v>
      </c>
      <c r="I822" s="36" t="n">
        <f aca="false">INDEX(Inventory!$D$2:$D$17,MATCH(C822,Inventory!$A$2:$A$17,0))</f>
        <v>0.8</v>
      </c>
      <c r="J822" s="36" t="n">
        <f aca="false">F822*I822</f>
        <v>20.8</v>
      </c>
      <c r="K822" s="36" t="n">
        <f aca="false">H822-J822</f>
        <v>13</v>
      </c>
    </row>
    <row r="823" customFormat="false" ht="15" hidden="false" customHeight="false" outlineLevel="0" collapsed="false">
      <c r="A823" s="41" t="n">
        <v>46255</v>
      </c>
      <c r="B823" s="42" t="n">
        <f aca="false">DATE(YEAR(A823),MONTH(A823),1)</f>
        <v>46235</v>
      </c>
      <c r="C823" s="3" t="s">
        <v>63</v>
      </c>
      <c r="D823" s="3" t="s">
        <v>64</v>
      </c>
      <c r="E823" s="3" t="s">
        <v>28</v>
      </c>
      <c r="F823" s="3" t="n">
        <v>14</v>
      </c>
      <c r="G823" s="36" t="n">
        <v>0.9</v>
      </c>
      <c r="H823" s="36" t="n">
        <f aca="false">F823*G823</f>
        <v>12.6</v>
      </c>
      <c r="I823" s="36" t="n">
        <f aca="false">INDEX(Inventory!$D$2:$D$17,MATCH(C823,Inventory!$A$2:$A$17,0))</f>
        <v>0.5</v>
      </c>
      <c r="J823" s="36" t="n">
        <f aca="false">F823*I823</f>
        <v>7</v>
      </c>
      <c r="K823" s="36" t="n">
        <f aca="false">H823-J823</f>
        <v>5.6</v>
      </c>
    </row>
    <row r="824" customFormat="false" ht="15" hidden="false" customHeight="false" outlineLevel="0" collapsed="false">
      <c r="A824" s="41" t="n">
        <v>46255</v>
      </c>
      <c r="B824" s="42" t="n">
        <f aca="false">DATE(YEAR(A824),MONTH(A824),1)</f>
        <v>46235</v>
      </c>
      <c r="C824" s="3" t="s">
        <v>49</v>
      </c>
      <c r="D824" s="3" t="s">
        <v>50</v>
      </c>
      <c r="E824" s="3" t="s">
        <v>28</v>
      </c>
      <c r="F824" s="3" t="n">
        <v>15</v>
      </c>
      <c r="G824" s="36" t="n">
        <v>1.2</v>
      </c>
      <c r="H824" s="36" t="n">
        <f aca="false">F824*G824</f>
        <v>18</v>
      </c>
      <c r="I824" s="36" t="n">
        <f aca="false">INDEX(Inventory!$D$2:$D$17,MATCH(C824,Inventory!$A$2:$A$17,0))</f>
        <v>0.7</v>
      </c>
      <c r="J824" s="36" t="n">
        <f aca="false">F824*I824</f>
        <v>10.5</v>
      </c>
      <c r="K824" s="36" t="n">
        <f aca="false">H824-J824</f>
        <v>7.5</v>
      </c>
    </row>
    <row r="825" customFormat="false" ht="15" hidden="false" customHeight="false" outlineLevel="0" collapsed="false">
      <c r="A825" s="41" t="n">
        <v>46255</v>
      </c>
      <c r="B825" s="42" t="n">
        <f aca="false">DATE(YEAR(A825),MONTH(A825),1)</f>
        <v>46235</v>
      </c>
      <c r="C825" s="3" t="s">
        <v>51</v>
      </c>
      <c r="D825" s="3" t="s">
        <v>52</v>
      </c>
      <c r="E825" s="3" t="s">
        <v>28</v>
      </c>
      <c r="F825" s="3" t="n">
        <v>18</v>
      </c>
      <c r="G825" s="36" t="n">
        <v>0.85</v>
      </c>
      <c r="H825" s="36" t="n">
        <f aca="false">F825*G825</f>
        <v>15.3</v>
      </c>
      <c r="I825" s="36" t="n">
        <f aca="false">INDEX(Inventory!$D$2:$D$17,MATCH(C825,Inventory!$A$2:$A$17,0))</f>
        <v>0.45</v>
      </c>
      <c r="J825" s="36" t="n">
        <f aca="false">F825*I825</f>
        <v>8.1</v>
      </c>
      <c r="K825" s="36" t="n">
        <f aca="false">H825-J825</f>
        <v>7.2</v>
      </c>
    </row>
    <row r="826" customFormat="false" ht="15" hidden="false" customHeight="false" outlineLevel="0" collapsed="false">
      <c r="A826" s="41" t="n">
        <v>46255</v>
      </c>
      <c r="B826" s="42" t="n">
        <f aca="false">DATE(YEAR(A826),MONTH(A826),1)</f>
        <v>46235</v>
      </c>
      <c r="C826" s="3" t="s">
        <v>37</v>
      </c>
      <c r="D826" s="3" t="s">
        <v>38</v>
      </c>
      <c r="E826" s="3" t="s">
        <v>26</v>
      </c>
      <c r="F826" s="3" t="n">
        <v>36</v>
      </c>
      <c r="G826" s="36" t="n">
        <v>1.2</v>
      </c>
      <c r="H826" s="36" t="n">
        <f aca="false">F826*G826</f>
        <v>43.2</v>
      </c>
      <c r="I826" s="36" t="n">
        <f aca="false">INDEX(Inventory!$D$2:$D$17,MATCH(C826,Inventory!$A$2:$A$17,0))</f>
        <v>0.85</v>
      </c>
      <c r="J826" s="36" t="n">
        <f aca="false">F826*I826</f>
        <v>30.6</v>
      </c>
      <c r="K826" s="36" t="n">
        <f aca="false">H826-J826</f>
        <v>12.6</v>
      </c>
    </row>
    <row r="827" customFormat="false" ht="15" hidden="false" customHeight="false" outlineLevel="0" collapsed="false">
      <c r="A827" s="41" t="n">
        <v>46255</v>
      </c>
      <c r="B827" s="42" t="n">
        <f aca="false">DATE(YEAR(A827),MONTH(A827),1)</f>
        <v>46235</v>
      </c>
      <c r="C827" s="3" t="s">
        <v>47</v>
      </c>
      <c r="D827" s="3" t="s">
        <v>48</v>
      </c>
      <c r="E827" s="3" t="s">
        <v>26</v>
      </c>
      <c r="F827" s="3" t="n">
        <v>12</v>
      </c>
      <c r="G827" s="36" t="n">
        <v>2.2</v>
      </c>
      <c r="H827" s="36" t="n">
        <f aca="false">F827*G827</f>
        <v>26.4</v>
      </c>
      <c r="I827" s="36" t="n">
        <f aca="false">INDEX(Inventory!$D$2:$D$17,MATCH(C827,Inventory!$A$2:$A$17,0))</f>
        <v>1.4</v>
      </c>
      <c r="J827" s="36" t="n">
        <f aca="false">F827*I827</f>
        <v>16.8</v>
      </c>
      <c r="K827" s="36" t="n">
        <f aca="false">H827-J827</f>
        <v>9.60000000000001</v>
      </c>
    </row>
    <row r="828" customFormat="false" ht="15" hidden="false" customHeight="false" outlineLevel="0" collapsed="false">
      <c r="A828" s="41" t="n">
        <v>46255</v>
      </c>
      <c r="B828" s="42" t="n">
        <f aca="false">DATE(YEAR(A828),MONTH(A828),1)</f>
        <v>46235</v>
      </c>
      <c r="C828" s="3" t="s">
        <v>43</v>
      </c>
      <c r="D828" s="3" t="s">
        <v>44</v>
      </c>
      <c r="E828" s="3" t="s">
        <v>26</v>
      </c>
      <c r="F828" s="3" t="n">
        <v>10</v>
      </c>
      <c r="G828" s="36" t="n">
        <v>3.8</v>
      </c>
      <c r="H828" s="36" t="n">
        <f aca="false">F828*G828</f>
        <v>38</v>
      </c>
      <c r="I828" s="36" t="n">
        <f aca="false">INDEX(Inventory!$D$2:$D$17,MATCH(C828,Inventory!$A$2:$A$17,0))</f>
        <v>2.6</v>
      </c>
      <c r="J828" s="36" t="n">
        <f aca="false">F828*I828</f>
        <v>26</v>
      </c>
      <c r="K828" s="36" t="n">
        <f aca="false">H828-J828</f>
        <v>12</v>
      </c>
    </row>
    <row r="829" customFormat="false" ht="15" hidden="false" customHeight="false" outlineLevel="0" collapsed="false">
      <c r="A829" s="41" t="n">
        <v>46255</v>
      </c>
      <c r="B829" s="42" t="n">
        <f aca="false">DATE(YEAR(A829),MONTH(A829),1)</f>
        <v>46235</v>
      </c>
      <c r="C829" s="3" t="s">
        <v>67</v>
      </c>
      <c r="D829" s="3" t="s">
        <v>68</v>
      </c>
      <c r="E829" s="3" t="s">
        <v>26</v>
      </c>
      <c r="F829" s="3" t="n">
        <v>8</v>
      </c>
      <c r="G829" s="36" t="n">
        <v>1.9</v>
      </c>
      <c r="H829" s="36" t="n">
        <f aca="false">F829*G829</f>
        <v>15.2</v>
      </c>
      <c r="I829" s="36" t="n">
        <f aca="false">INDEX(Inventory!$D$2:$D$17,MATCH(C829,Inventory!$A$2:$A$17,0))</f>
        <v>1.3</v>
      </c>
      <c r="J829" s="36" t="n">
        <f aca="false">F829*I829</f>
        <v>10.4</v>
      </c>
      <c r="K829" s="36" t="n">
        <f aca="false">H829-J829</f>
        <v>4.8</v>
      </c>
    </row>
    <row r="830" customFormat="false" ht="15" hidden="false" customHeight="false" outlineLevel="0" collapsed="false">
      <c r="A830" s="41" t="n">
        <v>46255</v>
      </c>
      <c r="B830" s="42" t="n">
        <f aca="false">DATE(YEAR(A830),MONTH(A830),1)</f>
        <v>46235</v>
      </c>
      <c r="C830" s="3" t="s">
        <v>61</v>
      </c>
      <c r="D830" s="3" t="s">
        <v>62</v>
      </c>
      <c r="E830" s="3" t="s">
        <v>29</v>
      </c>
      <c r="F830" s="3" t="n">
        <v>7</v>
      </c>
      <c r="G830" s="36" t="n">
        <v>1.9</v>
      </c>
      <c r="H830" s="36" t="n">
        <f aca="false">F830*G830</f>
        <v>13.3</v>
      </c>
      <c r="I830" s="36" t="n">
        <f aca="false">INDEX(Inventory!$D$2:$D$17,MATCH(C830,Inventory!$A$2:$A$17,0))</f>
        <v>1.1</v>
      </c>
      <c r="J830" s="36" t="n">
        <f aca="false">F830*I830</f>
        <v>7.7</v>
      </c>
      <c r="K830" s="36" t="n">
        <f aca="false">H830-J830</f>
        <v>5.6</v>
      </c>
    </row>
    <row r="831" customFormat="false" ht="15" hidden="false" customHeight="false" outlineLevel="0" collapsed="false">
      <c r="A831" s="41" t="n">
        <v>46255</v>
      </c>
      <c r="B831" s="42" t="n">
        <f aca="false">DATE(YEAR(A831),MONTH(A831),1)</f>
        <v>46235</v>
      </c>
      <c r="C831" s="3" t="s">
        <v>45</v>
      </c>
      <c r="D831" s="3" t="s">
        <v>46</v>
      </c>
      <c r="E831" s="3" t="s">
        <v>29</v>
      </c>
      <c r="F831" s="3" t="n">
        <v>5</v>
      </c>
      <c r="G831" s="36" t="n">
        <v>5.2</v>
      </c>
      <c r="H831" s="36" t="n">
        <f aca="false">F831*G831</f>
        <v>26</v>
      </c>
      <c r="I831" s="36" t="n">
        <f aca="false">INDEX(Inventory!$D$2:$D$17,MATCH(C831,Inventory!$A$2:$A$17,0))</f>
        <v>3.5</v>
      </c>
      <c r="J831" s="36" t="n">
        <f aca="false">F831*I831</f>
        <v>17.5</v>
      </c>
      <c r="K831" s="36" t="n">
        <f aca="false">H831-J831</f>
        <v>8.5</v>
      </c>
    </row>
    <row r="832" customFormat="false" ht="15" hidden="false" customHeight="false" outlineLevel="0" collapsed="false">
      <c r="A832" s="41" t="n">
        <v>46255</v>
      </c>
      <c r="B832" s="42" t="n">
        <f aca="false">DATE(YEAR(A832),MONTH(A832),1)</f>
        <v>46235</v>
      </c>
      <c r="C832" s="3" t="s">
        <v>65</v>
      </c>
      <c r="D832" s="3" t="s">
        <v>66</v>
      </c>
      <c r="E832" s="3" t="s">
        <v>29</v>
      </c>
      <c r="F832" s="3" t="n">
        <v>11</v>
      </c>
      <c r="G832" s="36" t="n">
        <v>1.5</v>
      </c>
      <c r="H832" s="36" t="n">
        <f aca="false">F832*G832</f>
        <v>16.5</v>
      </c>
      <c r="I832" s="36" t="n">
        <f aca="false">INDEX(Inventory!$D$2:$D$17,MATCH(C832,Inventory!$A$2:$A$17,0))</f>
        <v>0.9</v>
      </c>
      <c r="J832" s="36" t="n">
        <f aca="false">F832*I832</f>
        <v>9.9</v>
      </c>
      <c r="K832" s="36" t="n">
        <f aca="false">H832-J832</f>
        <v>6.6</v>
      </c>
    </row>
    <row r="833" customFormat="false" ht="15" hidden="false" customHeight="false" outlineLevel="0" collapsed="false">
      <c r="A833" s="41" t="n">
        <v>46255</v>
      </c>
      <c r="B833" s="42" t="n">
        <f aca="false">DATE(YEAR(A833),MONTH(A833),1)</f>
        <v>46235</v>
      </c>
      <c r="C833" s="3" t="s">
        <v>55</v>
      </c>
      <c r="D833" s="3" t="s">
        <v>56</v>
      </c>
      <c r="E833" s="3" t="s">
        <v>29</v>
      </c>
      <c r="F833" s="3" t="n">
        <v>7</v>
      </c>
      <c r="G833" s="36" t="n">
        <v>2.5</v>
      </c>
      <c r="H833" s="36" t="n">
        <f aca="false">F833*G833</f>
        <v>17.5</v>
      </c>
      <c r="I833" s="36" t="n">
        <f aca="false">INDEX(Inventory!$D$2:$D$17,MATCH(C833,Inventory!$A$2:$A$17,0))</f>
        <v>1.6</v>
      </c>
      <c r="J833" s="36" t="n">
        <f aca="false">F833*I833</f>
        <v>11.2</v>
      </c>
      <c r="K833" s="36" t="n">
        <f aca="false">H833-J833</f>
        <v>6.3</v>
      </c>
    </row>
    <row r="834" customFormat="false" ht="15" hidden="false" customHeight="false" outlineLevel="0" collapsed="false">
      <c r="A834" s="41" t="n">
        <v>46256</v>
      </c>
      <c r="B834" s="42" t="n">
        <f aca="false">DATE(YEAR(A834),MONTH(A834),1)</f>
        <v>46235</v>
      </c>
      <c r="C834" s="3" t="s">
        <v>39</v>
      </c>
      <c r="D834" s="3" t="s">
        <v>40</v>
      </c>
      <c r="E834" s="3" t="s">
        <v>27</v>
      </c>
      <c r="F834" s="3" t="n">
        <v>29</v>
      </c>
      <c r="G834" s="36" t="n">
        <v>1</v>
      </c>
      <c r="H834" s="36" t="n">
        <f aca="false">F834*G834</f>
        <v>29</v>
      </c>
      <c r="I834" s="36" t="n">
        <f aca="false">INDEX(Inventory!$D$2:$D$17,MATCH(C834,Inventory!$A$2:$A$17,0))</f>
        <v>0.6</v>
      </c>
      <c r="J834" s="36" t="n">
        <f aca="false">F834*I834</f>
        <v>17.4</v>
      </c>
      <c r="K834" s="36" t="n">
        <f aca="false">H834-J834</f>
        <v>11.6</v>
      </c>
    </row>
    <row r="835" customFormat="false" ht="15" hidden="false" customHeight="false" outlineLevel="0" collapsed="false">
      <c r="A835" s="41" t="n">
        <v>46256</v>
      </c>
      <c r="B835" s="42" t="n">
        <f aca="false">DATE(YEAR(A835),MONTH(A835),1)</f>
        <v>46235</v>
      </c>
      <c r="C835" s="3" t="s">
        <v>53</v>
      </c>
      <c r="D835" s="3" t="s">
        <v>54</v>
      </c>
      <c r="E835" s="3" t="s">
        <v>27</v>
      </c>
      <c r="F835" s="3" t="n">
        <v>24</v>
      </c>
      <c r="G835" s="36" t="n">
        <v>0.95</v>
      </c>
      <c r="H835" s="36" t="n">
        <f aca="false">F835*G835</f>
        <v>22.8</v>
      </c>
      <c r="I835" s="36" t="n">
        <f aca="false">INDEX(Inventory!$D$2:$D$17,MATCH(C835,Inventory!$A$2:$A$17,0))</f>
        <v>0.55</v>
      </c>
      <c r="J835" s="36" t="n">
        <f aca="false">F835*I835</f>
        <v>13.2</v>
      </c>
      <c r="K835" s="36" t="n">
        <f aca="false">H835-J835</f>
        <v>9.6</v>
      </c>
    </row>
    <row r="836" customFormat="false" ht="15" hidden="false" customHeight="false" outlineLevel="0" collapsed="false">
      <c r="A836" s="41" t="n">
        <v>46256</v>
      </c>
      <c r="B836" s="42" t="n">
        <f aca="false">DATE(YEAR(A836),MONTH(A836),1)</f>
        <v>46235</v>
      </c>
      <c r="C836" s="3" t="s">
        <v>59</v>
      </c>
      <c r="D836" s="3" t="s">
        <v>60</v>
      </c>
      <c r="E836" s="3" t="s">
        <v>27</v>
      </c>
      <c r="F836" s="3" t="n">
        <v>41</v>
      </c>
      <c r="G836" s="36" t="n">
        <v>0.6</v>
      </c>
      <c r="H836" s="36" t="n">
        <f aca="false">F836*G836</f>
        <v>24.6</v>
      </c>
      <c r="I836" s="36" t="n">
        <f aca="false">INDEX(Inventory!$D$2:$D$17,MATCH(C836,Inventory!$A$2:$A$17,0))</f>
        <v>0.3</v>
      </c>
      <c r="J836" s="36" t="n">
        <f aca="false">F836*I836</f>
        <v>12.3</v>
      </c>
      <c r="K836" s="36" t="n">
        <f aca="false">H836-J836</f>
        <v>12.3</v>
      </c>
    </row>
    <row r="837" customFormat="false" ht="15" hidden="false" customHeight="false" outlineLevel="0" collapsed="false">
      <c r="A837" s="41" t="n">
        <v>46256</v>
      </c>
      <c r="B837" s="42" t="n">
        <f aca="false">DATE(YEAR(A837),MONTH(A837),1)</f>
        <v>46235</v>
      </c>
      <c r="C837" s="3" t="s">
        <v>57</v>
      </c>
      <c r="D837" s="3" t="s">
        <v>58</v>
      </c>
      <c r="E837" s="3" t="s">
        <v>27</v>
      </c>
      <c r="F837" s="3" t="n">
        <v>14</v>
      </c>
      <c r="G837" s="36" t="n">
        <v>1.5</v>
      </c>
      <c r="H837" s="36" t="n">
        <f aca="false">F837*G837</f>
        <v>21</v>
      </c>
      <c r="I837" s="36" t="n">
        <f aca="false">INDEX(Inventory!$D$2:$D$17,MATCH(C837,Inventory!$A$2:$A$17,0))</f>
        <v>0.9</v>
      </c>
      <c r="J837" s="36" t="n">
        <f aca="false">F837*I837</f>
        <v>12.6</v>
      </c>
      <c r="K837" s="36" t="n">
        <f aca="false">H837-J837</f>
        <v>8.4</v>
      </c>
    </row>
    <row r="838" customFormat="false" ht="15" hidden="false" customHeight="false" outlineLevel="0" collapsed="false">
      <c r="A838" s="41" t="n">
        <v>46256</v>
      </c>
      <c r="B838" s="42" t="n">
        <f aca="false">DATE(YEAR(A838),MONTH(A838),1)</f>
        <v>46235</v>
      </c>
      <c r="C838" s="3" t="s">
        <v>41</v>
      </c>
      <c r="D838" s="3" t="s">
        <v>42</v>
      </c>
      <c r="E838" s="3" t="s">
        <v>28</v>
      </c>
      <c r="F838" s="3" t="n">
        <v>26</v>
      </c>
      <c r="G838" s="36" t="n">
        <v>1.3</v>
      </c>
      <c r="H838" s="36" t="n">
        <f aca="false">F838*G838</f>
        <v>33.8</v>
      </c>
      <c r="I838" s="36" t="n">
        <f aca="false">INDEX(Inventory!$D$2:$D$17,MATCH(C838,Inventory!$A$2:$A$17,0))</f>
        <v>0.8</v>
      </c>
      <c r="J838" s="36" t="n">
        <f aca="false">F838*I838</f>
        <v>20.8</v>
      </c>
      <c r="K838" s="36" t="n">
        <f aca="false">H838-J838</f>
        <v>13</v>
      </c>
    </row>
    <row r="839" customFormat="false" ht="15" hidden="false" customHeight="false" outlineLevel="0" collapsed="false">
      <c r="A839" s="41" t="n">
        <v>46256</v>
      </c>
      <c r="B839" s="42" t="n">
        <f aca="false">DATE(YEAR(A839),MONTH(A839),1)</f>
        <v>46235</v>
      </c>
      <c r="C839" s="3" t="s">
        <v>63</v>
      </c>
      <c r="D839" s="3" t="s">
        <v>64</v>
      </c>
      <c r="E839" s="3" t="s">
        <v>28</v>
      </c>
      <c r="F839" s="3" t="n">
        <v>18</v>
      </c>
      <c r="G839" s="36" t="n">
        <v>0.9</v>
      </c>
      <c r="H839" s="36" t="n">
        <f aca="false">F839*G839</f>
        <v>16.2</v>
      </c>
      <c r="I839" s="36" t="n">
        <f aca="false">INDEX(Inventory!$D$2:$D$17,MATCH(C839,Inventory!$A$2:$A$17,0))</f>
        <v>0.5</v>
      </c>
      <c r="J839" s="36" t="n">
        <f aca="false">F839*I839</f>
        <v>9</v>
      </c>
      <c r="K839" s="36" t="n">
        <f aca="false">H839-J839</f>
        <v>7.2</v>
      </c>
    </row>
    <row r="840" customFormat="false" ht="15" hidden="false" customHeight="false" outlineLevel="0" collapsed="false">
      <c r="A840" s="41" t="n">
        <v>46256</v>
      </c>
      <c r="B840" s="42" t="n">
        <f aca="false">DATE(YEAR(A840),MONTH(A840),1)</f>
        <v>46235</v>
      </c>
      <c r="C840" s="3" t="s">
        <v>49</v>
      </c>
      <c r="D840" s="3" t="s">
        <v>50</v>
      </c>
      <c r="E840" s="3" t="s">
        <v>28</v>
      </c>
      <c r="F840" s="3" t="n">
        <v>12</v>
      </c>
      <c r="G840" s="36" t="n">
        <v>1.2</v>
      </c>
      <c r="H840" s="36" t="n">
        <f aca="false">F840*G840</f>
        <v>14.4</v>
      </c>
      <c r="I840" s="36" t="n">
        <f aca="false">INDEX(Inventory!$D$2:$D$17,MATCH(C840,Inventory!$A$2:$A$17,0))</f>
        <v>0.7</v>
      </c>
      <c r="J840" s="36" t="n">
        <f aca="false">F840*I840</f>
        <v>8.4</v>
      </c>
      <c r="K840" s="36" t="n">
        <f aca="false">H840-J840</f>
        <v>6</v>
      </c>
    </row>
    <row r="841" customFormat="false" ht="15" hidden="false" customHeight="false" outlineLevel="0" collapsed="false">
      <c r="A841" s="41" t="n">
        <v>46256</v>
      </c>
      <c r="B841" s="42" t="n">
        <f aca="false">DATE(YEAR(A841),MONTH(A841),1)</f>
        <v>46235</v>
      </c>
      <c r="C841" s="3" t="s">
        <v>51</v>
      </c>
      <c r="D841" s="3" t="s">
        <v>52</v>
      </c>
      <c r="E841" s="3" t="s">
        <v>28</v>
      </c>
      <c r="F841" s="3" t="n">
        <v>34</v>
      </c>
      <c r="G841" s="36" t="n">
        <v>0.85</v>
      </c>
      <c r="H841" s="36" t="n">
        <f aca="false">F841*G841</f>
        <v>28.9</v>
      </c>
      <c r="I841" s="36" t="n">
        <f aca="false">INDEX(Inventory!$D$2:$D$17,MATCH(C841,Inventory!$A$2:$A$17,0))</f>
        <v>0.45</v>
      </c>
      <c r="J841" s="36" t="n">
        <f aca="false">F841*I841</f>
        <v>15.3</v>
      </c>
      <c r="K841" s="36" t="n">
        <f aca="false">H841-J841</f>
        <v>13.6</v>
      </c>
    </row>
    <row r="842" customFormat="false" ht="15" hidden="false" customHeight="false" outlineLevel="0" collapsed="false">
      <c r="A842" s="41" t="n">
        <v>46256</v>
      </c>
      <c r="B842" s="42" t="n">
        <f aca="false">DATE(YEAR(A842),MONTH(A842),1)</f>
        <v>46235</v>
      </c>
      <c r="C842" s="3" t="s">
        <v>37</v>
      </c>
      <c r="D842" s="3" t="s">
        <v>38</v>
      </c>
      <c r="E842" s="3" t="s">
        <v>26</v>
      </c>
      <c r="F842" s="3" t="n">
        <v>29</v>
      </c>
      <c r="G842" s="36" t="n">
        <v>1.2</v>
      </c>
      <c r="H842" s="36" t="n">
        <f aca="false">F842*G842</f>
        <v>34.8</v>
      </c>
      <c r="I842" s="36" t="n">
        <f aca="false">INDEX(Inventory!$D$2:$D$17,MATCH(C842,Inventory!$A$2:$A$17,0))</f>
        <v>0.85</v>
      </c>
      <c r="J842" s="36" t="n">
        <f aca="false">F842*I842</f>
        <v>24.65</v>
      </c>
      <c r="K842" s="36" t="n">
        <f aca="false">H842-J842</f>
        <v>10.15</v>
      </c>
    </row>
    <row r="843" customFormat="false" ht="15" hidden="false" customHeight="false" outlineLevel="0" collapsed="false">
      <c r="A843" s="41" t="n">
        <v>46256</v>
      </c>
      <c r="B843" s="42" t="n">
        <f aca="false">DATE(YEAR(A843),MONTH(A843),1)</f>
        <v>46235</v>
      </c>
      <c r="C843" s="3" t="s">
        <v>47</v>
      </c>
      <c r="D843" s="3" t="s">
        <v>48</v>
      </c>
      <c r="E843" s="3" t="s">
        <v>26</v>
      </c>
      <c r="F843" s="3" t="n">
        <v>17</v>
      </c>
      <c r="G843" s="36" t="n">
        <v>2.2</v>
      </c>
      <c r="H843" s="36" t="n">
        <f aca="false">F843*G843</f>
        <v>37.4</v>
      </c>
      <c r="I843" s="36" t="n">
        <f aca="false">INDEX(Inventory!$D$2:$D$17,MATCH(C843,Inventory!$A$2:$A$17,0))</f>
        <v>1.4</v>
      </c>
      <c r="J843" s="36" t="n">
        <f aca="false">F843*I843</f>
        <v>23.8</v>
      </c>
      <c r="K843" s="36" t="n">
        <f aca="false">H843-J843</f>
        <v>13.6</v>
      </c>
    </row>
    <row r="844" customFormat="false" ht="15" hidden="false" customHeight="false" outlineLevel="0" collapsed="false">
      <c r="A844" s="41" t="n">
        <v>46256</v>
      </c>
      <c r="B844" s="42" t="n">
        <f aca="false">DATE(YEAR(A844),MONTH(A844),1)</f>
        <v>46235</v>
      </c>
      <c r="C844" s="3" t="s">
        <v>43</v>
      </c>
      <c r="D844" s="3" t="s">
        <v>44</v>
      </c>
      <c r="E844" s="3" t="s">
        <v>26</v>
      </c>
      <c r="F844" s="3" t="n">
        <v>8</v>
      </c>
      <c r="G844" s="36" t="n">
        <v>3.8</v>
      </c>
      <c r="H844" s="36" t="n">
        <f aca="false">F844*G844</f>
        <v>30.4</v>
      </c>
      <c r="I844" s="36" t="n">
        <f aca="false">INDEX(Inventory!$D$2:$D$17,MATCH(C844,Inventory!$A$2:$A$17,0))</f>
        <v>2.6</v>
      </c>
      <c r="J844" s="36" t="n">
        <f aca="false">F844*I844</f>
        <v>20.8</v>
      </c>
      <c r="K844" s="36" t="n">
        <f aca="false">H844-J844</f>
        <v>9.6</v>
      </c>
    </row>
    <row r="845" customFormat="false" ht="15" hidden="false" customHeight="false" outlineLevel="0" collapsed="false">
      <c r="A845" s="41" t="n">
        <v>46256</v>
      </c>
      <c r="B845" s="42" t="n">
        <f aca="false">DATE(YEAR(A845),MONTH(A845),1)</f>
        <v>46235</v>
      </c>
      <c r="C845" s="3" t="s">
        <v>67</v>
      </c>
      <c r="D845" s="3" t="s">
        <v>68</v>
      </c>
      <c r="E845" s="3" t="s">
        <v>26</v>
      </c>
      <c r="F845" s="3" t="n">
        <v>6</v>
      </c>
      <c r="G845" s="36" t="n">
        <v>1.9</v>
      </c>
      <c r="H845" s="36" t="n">
        <f aca="false">F845*G845</f>
        <v>11.4</v>
      </c>
      <c r="I845" s="36" t="n">
        <f aca="false">INDEX(Inventory!$D$2:$D$17,MATCH(C845,Inventory!$A$2:$A$17,0))</f>
        <v>1.3</v>
      </c>
      <c r="J845" s="36" t="n">
        <f aca="false">F845*I845</f>
        <v>7.8</v>
      </c>
      <c r="K845" s="36" t="n">
        <f aca="false">H845-J845</f>
        <v>3.6</v>
      </c>
    </row>
    <row r="846" customFormat="false" ht="15" hidden="false" customHeight="false" outlineLevel="0" collapsed="false">
      <c r="A846" s="41" t="n">
        <v>46256</v>
      </c>
      <c r="B846" s="42" t="n">
        <f aca="false">DATE(YEAR(A846),MONTH(A846),1)</f>
        <v>46235</v>
      </c>
      <c r="C846" s="3" t="s">
        <v>61</v>
      </c>
      <c r="D846" s="3" t="s">
        <v>62</v>
      </c>
      <c r="E846" s="3" t="s">
        <v>29</v>
      </c>
      <c r="F846" s="3" t="n">
        <v>15</v>
      </c>
      <c r="G846" s="36" t="n">
        <v>1.9</v>
      </c>
      <c r="H846" s="36" t="n">
        <f aca="false">F846*G846</f>
        <v>28.5</v>
      </c>
      <c r="I846" s="36" t="n">
        <f aca="false">INDEX(Inventory!$D$2:$D$17,MATCH(C846,Inventory!$A$2:$A$17,0))</f>
        <v>1.1</v>
      </c>
      <c r="J846" s="36" t="n">
        <f aca="false">F846*I846</f>
        <v>16.5</v>
      </c>
      <c r="K846" s="36" t="n">
        <f aca="false">H846-J846</f>
        <v>12</v>
      </c>
    </row>
    <row r="847" customFormat="false" ht="15" hidden="false" customHeight="false" outlineLevel="0" collapsed="false">
      <c r="A847" s="41" t="n">
        <v>46256</v>
      </c>
      <c r="B847" s="42" t="n">
        <f aca="false">DATE(YEAR(A847),MONTH(A847),1)</f>
        <v>46235</v>
      </c>
      <c r="C847" s="3" t="s">
        <v>45</v>
      </c>
      <c r="D847" s="3" t="s">
        <v>46</v>
      </c>
      <c r="E847" s="3" t="s">
        <v>29</v>
      </c>
      <c r="F847" s="3" t="n">
        <v>5</v>
      </c>
      <c r="G847" s="36" t="n">
        <v>5.2</v>
      </c>
      <c r="H847" s="36" t="n">
        <f aca="false">F847*G847</f>
        <v>26</v>
      </c>
      <c r="I847" s="36" t="n">
        <f aca="false">INDEX(Inventory!$D$2:$D$17,MATCH(C847,Inventory!$A$2:$A$17,0))</f>
        <v>3.5</v>
      </c>
      <c r="J847" s="36" t="n">
        <f aca="false">F847*I847</f>
        <v>17.5</v>
      </c>
      <c r="K847" s="36" t="n">
        <f aca="false">H847-J847</f>
        <v>8.5</v>
      </c>
    </row>
    <row r="848" customFormat="false" ht="15" hidden="false" customHeight="false" outlineLevel="0" collapsed="false">
      <c r="A848" s="41" t="n">
        <v>46256</v>
      </c>
      <c r="B848" s="42" t="n">
        <f aca="false">DATE(YEAR(A848),MONTH(A848),1)</f>
        <v>46235</v>
      </c>
      <c r="C848" s="3" t="s">
        <v>65</v>
      </c>
      <c r="D848" s="3" t="s">
        <v>66</v>
      </c>
      <c r="E848" s="3" t="s">
        <v>29</v>
      </c>
      <c r="F848" s="3" t="n">
        <v>10</v>
      </c>
      <c r="G848" s="36" t="n">
        <v>1.5</v>
      </c>
      <c r="H848" s="36" t="n">
        <f aca="false">F848*G848</f>
        <v>15</v>
      </c>
      <c r="I848" s="36" t="n">
        <f aca="false">INDEX(Inventory!$D$2:$D$17,MATCH(C848,Inventory!$A$2:$A$17,0))</f>
        <v>0.9</v>
      </c>
      <c r="J848" s="36" t="n">
        <f aca="false">F848*I848</f>
        <v>9</v>
      </c>
      <c r="K848" s="36" t="n">
        <f aca="false">H848-J848</f>
        <v>6</v>
      </c>
    </row>
    <row r="849" customFormat="false" ht="15" hidden="false" customHeight="false" outlineLevel="0" collapsed="false">
      <c r="A849" s="41" t="n">
        <v>46256</v>
      </c>
      <c r="B849" s="42" t="n">
        <f aca="false">DATE(YEAR(A849),MONTH(A849),1)</f>
        <v>46235</v>
      </c>
      <c r="C849" s="3" t="s">
        <v>55</v>
      </c>
      <c r="D849" s="3" t="s">
        <v>56</v>
      </c>
      <c r="E849" s="3" t="s">
        <v>29</v>
      </c>
      <c r="F849" s="3" t="n">
        <v>11</v>
      </c>
      <c r="G849" s="36" t="n">
        <v>2.5</v>
      </c>
      <c r="H849" s="36" t="n">
        <f aca="false">F849*G849</f>
        <v>27.5</v>
      </c>
      <c r="I849" s="36" t="n">
        <f aca="false">INDEX(Inventory!$D$2:$D$17,MATCH(C849,Inventory!$A$2:$A$17,0))</f>
        <v>1.6</v>
      </c>
      <c r="J849" s="36" t="n">
        <f aca="false">F849*I849</f>
        <v>17.6</v>
      </c>
      <c r="K849" s="36" t="n">
        <f aca="false">H849-J849</f>
        <v>9.9</v>
      </c>
    </row>
    <row r="850" customFormat="false" ht="15" hidden="false" customHeight="false" outlineLevel="0" collapsed="false">
      <c r="A850" s="41" t="n">
        <v>46257</v>
      </c>
      <c r="B850" s="42" t="n">
        <f aca="false">DATE(YEAR(A850),MONTH(A850),1)</f>
        <v>46235</v>
      </c>
      <c r="C850" s="3" t="s">
        <v>39</v>
      </c>
      <c r="D850" s="3" t="s">
        <v>40</v>
      </c>
      <c r="E850" s="3" t="s">
        <v>27</v>
      </c>
      <c r="F850" s="3" t="n">
        <v>33</v>
      </c>
      <c r="G850" s="36" t="n">
        <v>1</v>
      </c>
      <c r="H850" s="36" t="n">
        <f aca="false">F850*G850</f>
        <v>33</v>
      </c>
      <c r="I850" s="36" t="n">
        <f aca="false">INDEX(Inventory!$D$2:$D$17,MATCH(C850,Inventory!$A$2:$A$17,0))</f>
        <v>0.6</v>
      </c>
      <c r="J850" s="36" t="n">
        <f aca="false">F850*I850</f>
        <v>19.8</v>
      </c>
      <c r="K850" s="36" t="n">
        <f aca="false">H850-J850</f>
        <v>13.2</v>
      </c>
    </row>
    <row r="851" customFormat="false" ht="15" hidden="false" customHeight="false" outlineLevel="0" collapsed="false">
      <c r="A851" s="41" t="n">
        <v>46257</v>
      </c>
      <c r="B851" s="42" t="n">
        <f aca="false">DATE(YEAR(A851),MONTH(A851),1)</f>
        <v>46235</v>
      </c>
      <c r="C851" s="3" t="s">
        <v>53</v>
      </c>
      <c r="D851" s="3" t="s">
        <v>54</v>
      </c>
      <c r="E851" s="3" t="s">
        <v>27</v>
      </c>
      <c r="F851" s="3" t="n">
        <v>17</v>
      </c>
      <c r="G851" s="36" t="n">
        <v>0.95</v>
      </c>
      <c r="H851" s="36" t="n">
        <f aca="false">F851*G851</f>
        <v>16.15</v>
      </c>
      <c r="I851" s="36" t="n">
        <f aca="false">INDEX(Inventory!$D$2:$D$17,MATCH(C851,Inventory!$A$2:$A$17,0))</f>
        <v>0.55</v>
      </c>
      <c r="J851" s="36" t="n">
        <f aca="false">F851*I851</f>
        <v>9.35</v>
      </c>
      <c r="K851" s="36" t="n">
        <f aca="false">H851-J851</f>
        <v>6.8</v>
      </c>
    </row>
    <row r="852" customFormat="false" ht="15" hidden="false" customHeight="false" outlineLevel="0" collapsed="false">
      <c r="A852" s="41" t="n">
        <v>46257</v>
      </c>
      <c r="B852" s="42" t="n">
        <f aca="false">DATE(YEAR(A852),MONTH(A852),1)</f>
        <v>46235</v>
      </c>
      <c r="C852" s="3" t="s">
        <v>59</v>
      </c>
      <c r="D852" s="3" t="s">
        <v>60</v>
      </c>
      <c r="E852" s="3" t="s">
        <v>27</v>
      </c>
      <c r="F852" s="3" t="n">
        <v>42</v>
      </c>
      <c r="G852" s="36" t="n">
        <v>0.6</v>
      </c>
      <c r="H852" s="36" t="n">
        <f aca="false">F852*G852</f>
        <v>25.2</v>
      </c>
      <c r="I852" s="36" t="n">
        <f aca="false">INDEX(Inventory!$D$2:$D$17,MATCH(C852,Inventory!$A$2:$A$17,0))</f>
        <v>0.3</v>
      </c>
      <c r="J852" s="36" t="n">
        <f aca="false">F852*I852</f>
        <v>12.6</v>
      </c>
      <c r="K852" s="36" t="n">
        <f aca="false">H852-J852</f>
        <v>12.6</v>
      </c>
    </row>
    <row r="853" customFormat="false" ht="15" hidden="false" customHeight="false" outlineLevel="0" collapsed="false">
      <c r="A853" s="41" t="n">
        <v>46257</v>
      </c>
      <c r="B853" s="42" t="n">
        <f aca="false">DATE(YEAR(A853),MONTH(A853),1)</f>
        <v>46235</v>
      </c>
      <c r="C853" s="3" t="s">
        <v>57</v>
      </c>
      <c r="D853" s="3" t="s">
        <v>58</v>
      </c>
      <c r="E853" s="3" t="s">
        <v>27</v>
      </c>
      <c r="F853" s="3" t="n">
        <v>16</v>
      </c>
      <c r="G853" s="36" t="n">
        <v>1.5</v>
      </c>
      <c r="H853" s="36" t="n">
        <f aca="false">F853*G853</f>
        <v>24</v>
      </c>
      <c r="I853" s="36" t="n">
        <f aca="false">INDEX(Inventory!$D$2:$D$17,MATCH(C853,Inventory!$A$2:$A$17,0))</f>
        <v>0.9</v>
      </c>
      <c r="J853" s="36" t="n">
        <f aca="false">F853*I853</f>
        <v>14.4</v>
      </c>
      <c r="K853" s="36" t="n">
        <f aca="false">H853-J853</f>
        <v>9.6</v>
      </c>
    </row>
    <row r="854" customFormat="false" ht="15" hidden="false" customHeight="false" outlineLevel="0" collapsed="false">
      <c r="A854" s="41" t="n">
        <v>46257</v>
      </c>
      <c r="B854" s="42" t="n">
        <f aca="false">DATE(YEAR(A854),MONTH(A854),1)</f>
        <v>46235</v>
      </c>
      <c r="C854" s="3" t="s">
        <v>41</v>
      </c>
      <c r="D854" s="3" t="s">
        <v>42</v>
      </c>
      <c r="E854" s="3" t="s">
        <v>28</v>
      </c>
      <c r="F854" s="3" t="n">
        <v>33</v>
      </c>
      <c r="G854" s="36" t="n">
        <v>1.3</v>
      </c>
      <c r="H854" s="36" t="n">
        <f aca="false">F854*G854</f>
        <v>42.9</v>
      </c>
      <c r="I854" s="36" t="n">
        <f aca="false">INDEX(Inventory!$D$2:$D$17,MATCH(C854,Inventory!$A$2:$A$17,0))</f>
        <v>0.8</v>
      </c>
      <c r="J854" s="36" t="n">
        <f aca="false">F854*I854</f>
        <v>26.4</v>
      </c>
      <c r="K854" s="36" t="n">
        <f aca="false">H854-J854</f>
        <v>16.5</v>
      </c>
    </row>
    <row r="855" customFormat="false" ht="15" hidden="false" customHeight="false" outlineLevel="0" collapsed="false">
      <c r="A855" s="41" t="n">
        <v>46257</v>
      </c>
      <c r="B855" s="42" t="n">
        <f aca="false">DATE(YEAR(A855),MONTH(A855),1)</f>
        <v>46235</v>
      </c>
      <c r="C855" s="3" t="s">
        <v>63</v>
      </c>
      <c r="D855" s="3" t="s">
        <v>64</v>
      </c>
      <c r="E855" s="3" t="s">
        <v>28</v>
      </c>
      <c r="F855" s="3" t="n">
        <v>21</v>
      </c>
      <c r="G855" s="36" t="n">
        <v>0.9</v>
      </c>
      <c r="H855" s="36" t="n">
        <f aca="false">F855*G855</f>
        <v>18.9</v>
      </c>
      <c r="I855" s="36" t="n">
        <f aca="false">INDEX(Inventory!$D$2:$D$17,MATCH(C855,Inventory!$A$2:$A$17,0))</f>
        <v>0.5</v>
      </c>
      <c r="J855" s="36" t="n">
        <f aca="false">F855*I855</f>
        <v>10.5</v>
      </c>
      <c r="K855" s="36" t="n">
        <f aca="false">H855-J855</f>
        <v>8.4</v>
      </c>
    </row>
    <row r="856" customFormat="false" ht="15" hidden="false" customHeight="false" outlineLevel="0" collapsed="false">
      <c r="A856" s="41" t="n">
        <v>46257</v>
      </c>
      <c r="B856" s="42" t="n">
        <f aca="false">DATE(YEAR(A856),MONTH(A856),1)</f>
        <v>46235</v>
      </c>
      <c r="C856" s="3" t="s">
        <v>49</v>
      </c>
      <c r="D856" s="3" t="s">
        <v>50</v>
      </c>
      <c r="E856" s="3" t="s">
        <v>28</v>
      </c>
      <c r="F856" s="3" t="n">
        <v>34</v>
      </c>
      <c r="G856" s="36" t="n">
        <v>1.2</v>
      </c>
      <c r="H856" s="36" t="n">
        <f aca="false">F856*G856</f>
        <v>40.8</v>
      </c>
      <c r="I856" s="36" t="n">
        <f aca="false">INDEX(Inventory!$D$2:$D$17,MATCH(C856,Inventory!$A$2:$A$17,0))</f>
        <v>0.7</v>
      </c>
      <c r="J856" s="36" t="n">
        <f aca="false">F856*I856</f>
        <v>23.8</v>
      </c>
      <c r="K856" s="36" t="n">
        <f aca="false">H856-J856</f>
        <v>17</v>
      </c>
    </row>
    <row r="857" customFormat="false" ht="15" hidden="false" customHeight="false" outlineLevel="0" collapsed="false">
      <c r="A857" s="41" t="n">
        <v>46257</v>
      </c>
      <c r="B857" s="42" t="n">
        <f aca="false">DATE(YEAR(A857),MONTH(A857),1)</f>
        <v>46235</v>
      </c>
      <c r="C857" s="3" t="s">
        <v>51</v>
      </c>
      <c r="D857" s="3" t="s">
        <v>52</v>
      </c>
      <c r="E857" s="3" t="s">
        <v>28</v>
      </c>
      <c r="F857" s="3" t="n">
        <v>21</v>
      </c>
      <c r="G857" s="36" t="n">
        <v>0.85</v>
      </c>
      <c r="H857" s="36" t="n">
        <f aca="false">F857*G857</f>
        <v>17.85</v>
      </c>
      <c r="I857" s="36" t="n">
        <f aca="false">INDEX(Inventory!$D$2:$D$17,MATCH(C857,Inventory!$A$2:$A$17,0))</f>
        <v>0.45</v>
      </c>
      <c r="J857" s="36" t="n">
        <f aca="false">F857*I857</f>
        <v>9.45</v>
      </c>
      <c r="K857" s="36" t="n">
        <f aca="false">H857-J857</f>
        <v>8.4</v>
      </c>
    </row>
    <row r="858" customFormat="false" ht="15" hidden="false" customHeight="false" outlineLevel="0" collapsed="false">
      <c r="A858" s="41" t="n">
        <v>46257</v>
      </c>
      <c r="B858" s="42" t="n">
        <f aca="false">DATE(YEAR(A858),MONTH(A858),1)</f>
        <v>46235</v>
      </c>
      <c r="C858" s="3" t="s">
        <v>37</v>
      </c>
      <c r="D858" s="3" t="s">
        <v>38</v>
      </c>
      <c r="E858" s="3" t="s">
        <v>26</v>
      </c>
      <c r="F858" s="3" t="n">
        <v>32</v>
      </c>
      <c r="G858" s="36" t="n">
        <v>1.2</v>
      </c>
      <c r="H858" s="36" t="n">
        <f aca="false">F858*G858</f>
        <v>38.4</v>
      </c>
      <c r="I858" s="36" t="n">
        <f aca="false">INDEX(Inventory!$D$2:$D$17,MATCH(C858,Inventory!$A$2:$A$17,0))</f>
        <v>0.85</v>
      </c>
      <c r="J858" s="36" t="n">
        <f aca="false">F858*I858</f>
        <v>27.2</v>
      </c>
      <c r="K858" s="36" t="n">
        <f aca="false">H858-J858</f>
        <v>11.2</v>
      </c>
    </row>
    <row r="859" customFormat="false" ht="15" hidden="false" customHeight="false" outlineLevel="0" collapsed="false">
      <c r="A859" s="41" t="n">
        <v>46257</v>
      </c>
      <c r="B859" s="42" t="n">
        <f aca="false">DATE(YEAR(A859),MONTH(A859),1)</f>
        <v>46235</v>
      </c>
      <c r="C859" s="3" t="s">
        <v>47</v>
      </c>
      <c r="D859" s="3" t="s">
        <v>48</v>
      </c>
      <c r="E859" s="3" t="s">
        <v>26</v>
      </c>
      <c r="F859" s="3" t="n">
        <v>11</v>
      </c>
      <c r="G859" s="36" t="n">
        <v>2.2</v>
      </c>
      <c r="H859" s="36" t="n">
        <f aca="false">F859*G859</f>
        <v>24.2</v>
      </c>
      <c r="I859" s="36" t="n">
        <f aca="false">INDEX(Inventory!$D$2:$D$17,MATCH(C859,Inventory!$A$2:$A$17,0))</f>
        <v>1.4</v>
      </c>
      <c r="J859" s="36" t="n">
        <f aca="false">F859*I859</f>
        <v>15.4</v>
      </c>
      <c r="K859" s="36" t="n">
        <f aca="false">H859-J859</f>
        <v>8.8</v>
      </c>
    </row>
    <row r="860" customFormat="false" ht="15" hidden="false" customHeight="false" outlineLevel="0" collapsed="false">
      <c r="A860" s="41" t="n">
        <v>46257</v>
      </c>
      <c r="B860" s="42" t="n">
        <f aca="false">DATE(YEAR(A860),MONTH(A860),1)</f>
        <v>46235</v>
      </c>
      <c r="C860" s="3" t="s">
        <v>43</v>
      </c>
      <c r="D860" s="3" t="s">
        <v>44</v>
      </c>
      <c r="E860" s="3" t="s">
        <v>26</v>
      </c>
      <c r="F860" s="3" t="n">
        <v>11</v>
      </c>
      <c r="G860" s="36" t="n">
        <v>3.8</v>
      </c>
      <c r="H860" s="36" t="n">
        <f aca="false">F860*G860</f>
        <v>41.8</v>
      </c>
      <c r="I860" s="36" t="n">
        <f aca="false">INDEX(Inventory!$D$2:$D$17,MATCH(C860,Inventory!$A$2:$A$17,0))</f>
        <v>2.6</v>
      </c>
      <c r="J860" s="36" t="n">
        <f aca="false">F860*I860</f>
        <v>28.6</v>
      </c>
      <c r="K860" s="36" t="n">
        <f aca="false">H860-J860</f>
        <v>13.2</v>
      </c>
    </row>
    <row r="861" customFormat="false" ht="15" hidden="false" customHeight="false" outlineLevel="0" collapsed="false">
      <c r="A861" s="41" t="n">
        <v>46257</v>
      </c>
      <c r="B861" s="42" t="n">
        <f aca="false">DATE(YEAR(A861),MONTH(A861),1)</f>
        <v>46235</v>
      </c>
      <c r="C861" s="3" t="s">
        <v>67</v>
      </c>
      <c r="D861" s="3" t="s">
        <v>68</v>
      </c>
      <c r="E861" s="3" t="s">
        <v>26</v>
      </c>
      <c r="F861" s="3" t="n">
        <v>9</v>
      </c>
      <c r="G861" s="36" t="n">
        <v>1.9</v>
      </c>
      <c r="H861" s="36" t="n">
        <f aca="false">F861*G861</f>
        <v>17.1</v>
      </c>
      <c r="I861" s="36" t="n">
        <f aca="false">INDEX(Inventory!$D$2:$D$17,MATCH(C861,Inventory!$A$2:$A$17,0))</f>
        <v>1.3</v>
      </c>
      <c r="J861" s="36" t="n">
        <f aca="false">F861*I861</f>
        <v>11.7</v>
      </c>
      <c r="K861" s="36" t="n">
        <f aca="false">H861-J861</f>
        <v>5.4</v>
      </c>
    </row>
    <row r="862" customFormat="false" ht="15" hidden="false" customHeight="false" outlineLevel="0" collapsed="false">
      <c r="A862" s="41" t="n">
        <v>46257</v>
      </c>
      <c r="B862" s="42" t="n">
        <f aca="false">DATE(YEAR(A862),MONTH(A862),1)</f>
        <v>46235</v>
      </c>
      <c r="C862" s="3" t="s">
        <v>61</v>
      </c>
      <c r="D862" s="3" t="s">
        <v>62</v>
      </c>
      <c r="E862" s="3" t="s">
        <v>29</v>
      </c>
      <c r="F862" s="3" t="n">
        <v>14</v>
      </c>
      <c r="G862" s="36" t="n">
        <v>1.9</v>
      </c>
      <c r="H862" s="36" t="n">
        <f aca="false">F862*G862</f>
        <v>26.6</v>
      </c>
      <c r="I862" s="36" t="n">
        <f aca="false">INDEX(Inventory!$D$2:$D$17,MATCH(C862,Inventory!$A$2:$A$17,0))</f>
        <v>1.1</v>
      </c>
      <c r="J862" s="36" t="n">
        <f aca="false">F862*I862</f>
        <v>15.4</v>
      </c>
      <c r="K862" s="36" t="n">
        <f aca="false">H862-J862</f>
        <v>11.2</v>
      </c>
    </row>
    <row r="863" customFormat="false" ht="15" hidden="false" customHeight="false" outlineLevel="0" collapsed="false">
      <c r="A863" s="41" t="n">
        <v>46257</v>
      </c>
      <c r="B863" s="42" t="n">
        <f aca="false">DATE(YEAR(A863),MONTH(A863),1)</f>
        <v>46235</v>
      </c>
      <c r="C863" s="3" t="s">
        <v>45</v>
      </c>
      <c r="D863" s="3" t="s">
        <v>46</v>
      </c>
      <c r="E863" s="3" t="s">
        <v>29</v>
      </c>
      <c r="F863" s="3" t="n">
        <v>6</v>
      </c>
      <c r="G863" s="36" t="n">
        <v>5.2</v>
      </c>
      <c r="H863" s="36" t="n">
        <f aca="false">F863*G863</f>
        <v>31.2</v>
      </c>
      <c r="I863" s="36" t="n">
        <f aca="false">INDEX(Inventory!$D$2:$D$17,MATCH(C863,Inventory!$A$2:$A$17,0))</f>
        <v>3.5</v>
      </c>
      <c r="J863" s="36" t="n">
        <f aca="false">F863*I863</f>
        <v>21</v>
      </c>
      <c r="K863" s="36" t="n">
        <f aca="false">H863-J863</f>
        <v>10.2</v>
      </c>
    </row>
    <row r="864" customFormat="false" ht="15" hidden="false" customHeight="false" outlineLevel="0" collapsed="false">
      <c r="A864" s="41" t="n">
        <v>46257</v>
      </c>
      <c r="B864" s="42" t="n">
        <f aca="false">DATE(YEAR(A864),MONTH(A864),1)</f>
        <v>46235</v>
      </c>
      <c r="C864" s="3" t="s">
        <v>65</v>
      </c>
      <c r="D864" s="3" t="s">
        <v>66</v>
      </c>
      <c r="E864" s="3" t="s">
        <v>29</v>
      </c>
      <c r="F864" s="3" t="n">
        <v>9</v>
      </c>
      <c r="G864" s="36" t="n">
        <v>1.5</v>
      </c>
      <c r="H864" s="36" t="n">
        <f aca="false">F864*G864</f>
        <v>13.5</v>
      </c>
      <c r="I864" s="36" t="n">
        <f aca="false">INDEX(Inventory!$D$2:$D$17,MATCH(C864,Inventory!$A$2:$A$17,0))</f>
        <v>0.9</v>
      </c>
      <c r="J864" s="36" t="n">
        <f aca="false">F864*I864</f>
        <v>8.1</v>
      </c>
      <c r="K864" s="36" t="n">
        <f aca="false">H864-J864</f>
        <v>5.4</v>
      </c>
    </row>
    <row r="865" customFormat="false" ht="15" hidden="false" customHeight="false" outlineLevel="0" collapsed="false">
      <c r="A865" s="41" t="n">
        <v>46257</v>
      </c>
      <c r="B865" s="42" t="n">
        <f aca="false">DATE(YEAR(A865),MONTH(A865),1)</f>
        <v>46235</v>
      </c>
      <c r="C865" s="3" t="s">
        <v>55</v>
      </c>
      <c r="D865" s="3" t="s">
        <v>56</v>
      </c>
      <c r="E865" s="3" t="s">
        <v>29</v>
      </c>
      <c r="F865" s="3" t="n">
        <v>6</v>
      </c>
      <c r="G865" s="36" t="n">
        <v>2.5</v>
      </c>
      <c r="H865" s="36" t="n">
        <f aca="false">F865*G865</f>
        <v>15</v>
      </c>
      <c r="I865" s="36" t="n">
        <f aca="false">INDEX(Inventory!$D$2:$D$17,MATCH(C865,Inventory!$A$2:$A$17,0))</f>
        <v>1.6</v>
      </c>
      <c r="J865" s="36" t="n">
        <f aca="false">F865*I865</f>
        <v>9.6</v>
      </c>
      <c r="K865" s="36" t="n">
        <f aca="false">H865-J865</f>
        <v>5.4</v>
      </c>
    </row>
    <row r="866" customFormat="false" ht="15" hidden="false" customHeight="false" outlineLevel="0" collapsed="false">
      <c r="A866" s="41" t="n">
        <v>46258</v>
      </c>
      <c r="B866" s="42" t="n">
        <f aca="false">DATE(YEAR(A866),MONTH(A866),1)</f>
        <v>46235</v>
      </c>
      <c r="C866" s="3" t="s">
        <v>39</v>
      </c>
      <c r="D866" s="3" t="s">
        <v>40</v>
      </c>
      <c r="E866" s="3" t="s">
        <v>27</v>
      </c>
      <c r="F866" s="3" t="n">
        <v>38</v>
      </c>
      <c r="G866" s="36" t="n">
        <v>1</v>
      </c>
      <c r="H866" s="36" t="n">
        <f aca="false">F866*G866</f>
        <v>38</v>
      </c>
      <c r="I866" s="36" t="n">
        <f aca="false">INDEX(Inventory!$D$2:$D$17,MATCH(C866,Inventory!$A$2:$A$17,0))</f>
        <v>0.6</v>
      </c>
      <c r="J866" s="36" t="n">
        <f aca="false">F866*I866</f>
        <v>22.8</v>
      </c>
      <c r="K866" s="36" t="n">
        <f aca="false">H866-J866</f>
        <v>15.2</v>
      </c>
    </row>
    <row r="867" customFormat="false" ht="15" hidden="false" customHeight="false" outlineLevel="0" collapsed="false">
      <c r="A867" s="41" t="n">
        <v>46258</v>
      </c>
      <c r="B867" s="42" t="n">
        <f aca="false">DATE(YEAR(A867),MONTH(A867),1)</f>
        <v>46235</v>
      </c>
      <c r="C867" s="3" t="s">
        <v>53</v>
      </c>
      <c r="D867" s="3" t="s">
        <v>54</v>
      </c>
      <c r="E867" s="3" t="s">
        <v>27</v>
      </c>
      <c r="F867" s="3" t="n">
        <v>21</v>
      </c>
      <c r="G867" s="36" t="n">
        <v>0.95</v>
      </c>
      <c r="H867" s="36" t="n">
        <f aca="false">F867*G867</f>
        <v>19.95</v>
      </c>
      <c r="I867" s="36" t="n">
        <f aca="false">INDEX(Inventory!$D$2:$D$17,MATCH(C867,Inventory!$A$2:$A$17,0))</f>
        <v>0.55</v>
      </c>
      <c r="J867" s="36" t="n">
        <f aca="false">F867*I867</f>
        <v>11.55</v>
      </c>
      <c r="K867" s="36" t="n">
        <f aca="false">H867-J867</f>
        <v>8.4</v>
      </c>
    </row>
    <row r="868" customFormat="false" ht="15" hidden="false" customHeight="false" outlineLevel="0" collapsed="false">
      <c r="A868" s="41" t="n">
        <v>46258</v>
      </c>
      <c r="B868" s="42" t="n">
        <f aca="false">DATE(YEAR(A868),MONTH(A868),1)</f>
        <v>46235</v>
      </c>
      <c r="C868" s="3" t="s">
        <v>59</v>
      </c>
      <c r="D868" s="3" t="s">
        <v>60</v>
      </c>
      <c r="E868" s="3" t="s">
        <v>27</v>
      </c>
      <c r="F868" s="3" t="n">
        <v>29</v>
      </c>
      <c r="G868" s="36" t="n">
        <v>0.6</v>
      </c>
      <c r="H868" s="36" t="n">
        <f aca="false">F868*G868</f>
        <v>17.4</v>
      </c>
      <c r="I868" s="36" t="n">
        <f aca="false">INDEX(Inventory!$D$2:$D$17,MATCH(C868,Inventory!$A$2:$A$17,0))</f>
        <v>0.3</v>
      </c>
      <c r="J868" s="36" t="n">
        <f aca="false">F868*I868</f>
        <v>8.7</v>
      </c>
      <c r="K868" s="36" t="n">
        <f aca="false">H868-J868</f>
        <v>8.7</v>
      </c>
    </row>
    <row r="869" customFormat="false" ht="15" hidden="false" customHeight="false" outlineLevel="0" collapsed="false">
      <c r="A869" s="41" t="n">
        <v>46258</v>
      </c>
      <c r="B869" s="42" t="n">
        <f aca="false">DATE(YEAR(A869),MONTH(A869),1)</f>
        <v>46235</v>
      </c>
      <c r="C869" s="3" t="s">
        <v>57</v>
      </c>
      <c r="D869" s="3" t="s">
        <v>58</v>
      </c>
      <c r="E869" s="3" t="s">
        <v>27</v>
      </c>
      <c r="F869" s="3" t="n">
        <v>15</v>
      </c>
      <c r="G869" s="36" t="n">
        <v>1.5</v>
      </c>
      <c r="H869" s="36" t="n">
        <f aca="false">F869*G869</f>
        <v>22.5</v>
      </c>
      <c r="I869" s="36" t="n">
        <f aca="false">INDEX(Inventory!$D$2:$D$17,MATCH(C869,Inventory!$A$2:$A$17,0))</f>
        <v>0.9</v>
      </c>
      <c r="J869" s="36" t="n">
        <f aca="false">F869*I869</f>
        <v>13.5</v>
      </c>
      <c r="K869" s="36" t="n">
        <f aca="false">H869-J869</f>
        <v>9</v>
      </c>
    </row>
    <row r="870" customFormat="false" ht="15" hidden="false" customHeight="false" outlineLevel="0" collapsed="false">
      <c r="A870" s="41" t="n">
        <v>46258</v>
      </c>
      <c r="B870" s="42" t="n">
        <f aca="false">DATE(YEAR(A870),MONTH(A870),1)</f>
        <v>46235</v>
      </c>
      <c r="C870" s="3" t="s">
        <v>41</v>
      </c>
      <c r="D870" s="3" t="s">
        <v>42</v>
      </c>
      <c r="E870" s="3" t="s">
        <v>28</v>
      </c>
      <c r="F870" s="3" t="n">
        <v>25</v>
      </c>
      <c r="G870" s="36" t="n">
        <v>1.3</v>
      </c>
      <c r="H870" s="36" t="n">
        <f aca="false">F870*G870</f>
        <v>32.5</v>
      </c>
      <c r="I870" s="36" t="n">
        <f aca="false">INDEX(Inventory!$D$2:$D$17,MATCH(C870,Inventory!$A$2:$A$17,0))</f>
        <v>0.8</v>
      </c>
      <c r="J870" s="36" t="n">
        <f aca="false">F870*I870</f>
        <v>20</v>
      </c>
      <c r="K870" s="36" t="n">
        <f aca="false">H870-J870</f>
        <v>12.5</v>
      </c>
    </row>
    <row r="871" customFormat="false" ht="15" hidden="false" customHeight="false" outlineLevel="0" collapsed="false">
      <c r="A871" s="41" t="n">
        <v>46258</v>
      </c>
      <c r="B871" s="42" t="n">
        <f aca="false">DATE(YEAR(A871),MONTH(A871),1)</f>
        <v>46235</v>
      </c>
      <c r="C871" s="3" t="s">
        <v>63</v>
      </c>
      <c r="D871" s="3" t="s">
        <v>64</v>
      </c>
      <c r="E871" s="3" t="s">
        <v>28</v>
      </c>
      <c r="F871" s="3" t="n">
        <v>18</v>
      </c>
      <c r="G871" s="36" t="n">
        <v>0.9</v>
      </c>
      <c r="H871" s="36" t="n">
        <f aca="false">F871*G871</f>
        <v>16.2</v>
      </c>
      <c r="I871" s="36" t="n">
        <f aca="false">INDEX(Inventory!$D$2:$D$17,MATCH(C871,Inventory!$A$2:$A$17,0))</f>
        <v>0.5</v>
      </c>
      <c r="J871" s="36" t="n">
        <f aca="false">F871*I871</f>
        <v>9</v>
      </c>
      <c r="K871" s="36" t="n">
        <f aca="false">H871-J871</f>
        <v>7.2</v>
      </c>
    </row>
    <row r="872" customFormat="false" ht="15" hidden="false" customHeight="false" outlineLevel="0" collapsed="false">
      <c r="A872" s="41" t="n">
        <v>46258</v>
      </c>
      <c r="B872" s="42" t="n">
        <f aca="false">DATE(YEAR(A872),MONTH(A872),1)</f>
        <v>46235</v>
      </c>
      <c r="C872" s="3" t="s">
        <v>49</v>
      </c>
      <c r="D872" s="3" t="s">
        <v>50</v>
      </c>
      <c r="E872" s="3" t="s">
        <v>28</v>
      </c>
      <c r="F872" s="3" t="n">
        <v>10</v>
      </c>
      <c r="G872" s="36" t="n">
        <v>1.2</v>
      </c>
      <c r="H872" s="36" t="n">
        <f aca="false">F872*G872</f>
        <v>12</v>
      </c>
      <c r="I872" s="36" t="n">
        <f aca="false">INDEX(Inventory!$D$2:$D$17,MATCH(C872,Inventory!$A$2:$A$17,0))</f>
        <v>0.7</v>
      </c>
      <c r="J872" s="36" t="n">
        <f aca="false">F872*I872</f>
        <v>7</v>
      </c>
      <c r="K872" s="36" t="n">
        <f aca="false">H872-J872</f>
        <v>5</v>
      </c>
    </row>
    <row r="873" customFormat="false" ht="15" hidden="false" customHeight="false" outlineLevel="0" collapsed="false">
      <c r="A873" s="41" t="n">
        <v>46258</v>
      </c>
      <c r="B873" s="42" t="n">
        <f aca="false">DATE(YEAR(A873),MONTH(A873),1)</f>
        <v>46235</v>
      </c>
      <c r="C873" s="3" t="s">
        <v>51</v>
      </c>
      <c r="D873" s="3" t="s">
        <v>52</v>
      </c>
      <c r="E873" s="3" t="s">
        <v>28</v>
      </c>
      <c r="F873" s="3" t="n">
        <v>19</v>
      </c>
      <c r="G873" s="36" t="n">
        <v>0.85</v>
      </c>
      <c r="H873" s="36" t="n">
        <f aca="false">F873*G873</f>
        <v>16.15</v>
      </c>
      <c r="I873" s="36" t="n">
        <f aca="false">INDEX(Inventory!$D$2:$D$17,MATCH(C873,Inventory!$A$2:$A$17,0))</f>
        <v>0.45</v>
      </c>
      <c r="J873" s="36" t="n">
        <f aca="false">F873*I873</f>
        <v>8.55</v>
      </c>
      <c r="K873" s="36" t="n">
        <f aca="false">H873-J873</f>
        <v>7.6</v>
      </c>
    </row>
    <row r="874" customFormat="false" ht="15" hidden="false" customHeight="false" outlineLevel="0" collapsed="false">
      <c r="A874" s="41" t="n">
        <v>46258</v>
      </c>
      <c r="B874" s="42" t="n">
        <f aca="false">DATE(YEAR(A874),MONTH(A874),1)</f>
        <v>46235</v>
      </c>
      <c r="C874" s="3" t="s">
        <v>37</v>
      </c>
      <c r="D874" s="3" t="s">
        <v>38</v>
      </c>
      <c r="E874" s="3" t="s">
        <v>26</v>
      </c>
      <c r="F874" s="3" t="n">
        <v>26</v>
      </c>
      <c r="G874" s="36" t="n">
        <v>1.2</v>
      </c>
      <c r="H874" s="36" t="n">
        <f aca="false">F874*G874</f>
        <v>31.2</v>
      </c>
      <c r="I874" s="36" t="n">
        <f aca="false">INDEX(Inventory!$D$2:$D$17,MATCH(C874,Inventory!$A$2:$A$17,0))</f>
        <v>0.85</v>
      </c>
      <c r="J874" s="36" t="n">
        <f aca="false">F874*I874</f>
        <v>22.1</v>
      </c>
      <c r="K874" s="36" t="n">
        <f aca="false">H874-J874</f>
        <v>9.1</v>
      </c>
    </row>
    <row r="875" customFormat="false" ht="15" hidden="false" customHeight="false" outlineLevel="0" collapsed="false">
      <c r="A875" s="41" t="n">
        <v>46258</v>
      </c>
      <c r="B875" s="42" t="n">
        <f aca="false">DATE(YEAR(A875),MONTH(A875),1)</f>
        <v>46235</v>
      </c>
      <c r="C875" s="3" t="s">
        <v>47</v>
      </c>
      <c r="D875" s="3" t="s">
        <v>48</v>
      </c>
      <c r="E875" s="3" t="s">
        <v>26</v>
      </c>
      <c r="F875" s="3" t="n">
        <v>11</v>
      </c>
      <c r="G875" s="36" t="n">
        <v>2.2</v>
      </c>
      <c r="H875" s="36" t="n">
        <f aca="false">F875*G875</f>
        <v>24.2</v>
      </c>
      <c r="I875" s="36" t="n">
        <f aca="false">INDEX(Inventory!$D$2:$D$17,MATCH(C875,Inventory!$A$2:$A$17,0))</f>
        <v>1.4</v>
      </c>
      <c r="J875" s="36" t="n">
        <f aca="false">F875*I875</f>
        <v>15.4</v>
      </c>
      <c r="K875" s="36" t="n">
        <f aca="false">H875-J875</f>
        <v>8.8</v>
      </c>
    </row>
    <row r="876" customFormat="false" ht="15" hidden="false" customHeight="false" outlineLevel="0" collapsed="false">
      <c r="A876" s="41" t="n">
        <v>46258</v>
      </c>
      <c r="B876" s="42" t="n">
        <f aca="false">DATE(YEAR(A876),MONTH(A876),1)</f>
        <v>46235</v>
      </c>
      <c r="C876" s="3" t="s">
        <v>43</v>
      </c>
      <c r="D876" s="3" t="s">
        <v>44</v>
      </c>
      <c r="E876" s="3" t="s">
        <v>26</v>
      </c>
      <c r="F876" s="3" t="n">
        <v>9</v>
      </c>
      <c r="G876" s="36" t="n">
        <v>3.8</v>
      </c>
      <c r="H876" s="36" t="n">
        <f aca="false">F876*G876</f>
        <v>34.2</v>
      </c>
      <c r="I876" s="36" t="n">
        <f aca="false">INDEX(Inventory!$D$2:$D$17,MATCH(C876,Inventory!$A$2:$A$17,0))</f>
        <v>2.6</v>
      </c>
      <c r="J876" s="36" t="n">
        <f aca="false">F876*I876</f>
        <v>23.4</v>
      </c>
      <c r="K876" s="36" t="n">
        <f aca="false">H876-J876</f>
        <v>10.8</v>
      </c>
    </row>
    <row r="877" customFormat="false" ht="15" hidden="false" customHeight="false" outlineLevel="0" collapsed="false">
      <c r="A877" s="41" t="n">
        <v>46258</v>
      </c>
      <c r="B877" s="42" t="n">
        <f aca="false">DATE(YEAR(A877),MONTH(A877),1)</f>
        <v>46235</v>
      </c>
      <c r="C877" s="3" t="s">
        <v>67</v>
      </c>
      <c r="D877" s="3" t="s">
        <v>68</v>
      </c>
      <c r="E877" s="3" t="s">
        <v>26</v>
      </c>
      <c r="F877" s="3" t="n">
        <v>5</v>
      </c>
      <c r="G877" s="36" t="n">
        <v>1.9</v>
      </c>
      <c r="H877" s="36" t="n">
        <f aca="false">F877*G877</f>
        <v>9.5</v>
      </c>
      <c r="I877" s="36" t="n">
        <f aca="false">INDEX(Inventory!$D$2:$D$17,MATCH(C877,Inventory!$A$2:$A$17,0))</f>
        <v>1.3</v>
      </c>
      <c r="J877" s="36" t="n">
        <f aca="false">F877*I877</f>
        <v>6.5</v>
      </c>
      <c r="K877" s="36" t="n">
        <f aca="false">H877-J877</f>
        <v>3</v>
      </c>
    </row>
    <row r="878" customFormat="false" ht="15" hidden="false" customHeight="false" outlineLevel="0" collapsed="false">
      <c r="A878" s="41" t="n">
        <v>46258</v>
      </c>
      <c r="B878" s="42" t="n">
        <f aca="false">DATE(YEAR(A878),MONTH(A878),1)</f>
        <v>46235</v>
      </c>
      <c r="C878" s="3" t="s">
        <v>61</v>
      </c>
      <c r="D878" s="3" t="s">
        <v>62</v>
      </c>
      <c r="E878" s="3" t="s">
        <v>29</v>
      </c>
      <c r="F878" s="3" t="n">
        <v>10</v>
      </c>
      <c r="G878" s="36" t="n">
        <v>1.9</v>
      </c>
      <c r="H878" s="36" t="n">
        <f aca="false">F878*G878</f>
        <v>19</v>
      </c>
      <c r="I878" s="36" t="n">
        <f aca="false">INDEX(Inventory!$D$2:$D$17,MATCH(C878,Inventory!$A$2:$A$17,0))</f>
        <v>1.1</v>
      </c>
      <c r="J878" s="36" t="n">
        <f aca="false">F878*I878</f>
        <v>11</v>
      </c>
      <c r="K878" s="36" t="n">
        <f aca="false">H878-J878</f>
        <v>8</v>
      </c>
    </row>
    <row r="879" customFormat="false" ht="15" hidden="false" customHeight="false" outlineLevel="0" collapsed="false">
      <c r="A879" s="41" t="n">
        <v>46258</v>
      </c>
      <c r="B879" s="42" t="n">
        <f aca="false">DATE(YEAR(A879),MONTH(A879),1)</f>
        <v>46235</v>
      </c>
      <c r="C879" s="3" t="s">
        <v>45</v>
      </c>
      <c r="D879" s="3" t="s">
        <v>46</v>
      </c>
      <c r="E879" s="3" t="s">
        <v>29</v>
      </c>
      <c r="F879" s="3" t="n">
        <v>8</v>
      </c>
      <c r="G879" s="36" t="n">
        <v>5.2</v>
      </c>
      <c r="H879" s="36" t="n">
        <f aca="false">F879*G879</f>
        <v>41.6</v>
      </c>
      <c r="I879" s="36" t="n">
        <f aca="false">INDEX(Inventory!$D$2:$D$17,MATCH(C879,Inventory!$A$2:$A$17,0))</f>
        <v>3.5</v>
      </c>
      <c r="J879" s="36" t="n">
        <f aca="false">F879*I879</f>
        <v>28</v>
      </c>
      <c r="K879" s="36" t="n">
        <f aca="false">H879-J879</f>
        <v>13.6</v>
      </c>
    </row>
    <row r="880" customFormat="false" ht="15" hidden="false" customHeight="false" outlineLevel="0" collapsed="false">
      <c r="A880" s="41" t="n">
        <v>46258</v>
      </c>
      <c r="B880" s="42" t="n">
        <f aca="false">DATE(YEAR(A880),MONTH(A880),1)</f>
        <v>46235</v>
      </c>
      <c r="C880" s="3" t="s">
        <v>65</v>
      </c>
      <c r="D880" s="3" t="s">
        <v>66</v>
      </c>
      <c r="E880" s="3" t="s">
        <v>29</v>
      </c>
      <c r="F880" s="3" t="n">
        <v>10</v>
      </c>
      <c r="G880" s="36" t="n">
        <v>1.5</v>
      </c>
      <c r="H880" s="36" t="n">
        <f aca="false">F880*G880</f>
        <v>15</v>
      </c>
      <c r="I880" s="36" t="n">
        <f aca="false">INDEX(Inventory!$D$2:$D$17,MATCH(C880,Inventory!$A$2:$A$17,0))</f>
        <v>0.9</v>
      </c>
      <c r="J880" s="36" t="n">
        <f aca="false">F880*I880</f>
        <v>9</v>
      </c>
      <c r="K880" s="36" t="n">
        <f aca="false">H880-J880</f>
        <v>6</v>
      </c>
    </row>
    <row r="881" customFormat="false" ht="15" hidden="false" customHeight="false" outlineLevel="0" collapsed="false">
      <c r="A881" s="41" t="n">
        <v>46258</v>
      </c>
      <c r="B881" s="42" t="n">
        <f aca="false">DATE(YEAR(A881),MONTH(A881),1)</f>
        <v>46235</v>
      </c>
      <c r="C881" s="3" t="s">
        <v>55</v>
      </c>
      <c r="D881" s="3" t="s">
        <v>56</v>
      </c>
      <c r="E881" s="3" t="s">
        <v>29</v>
      </c>
      <c r="F881" s="3" t="n">
        <v>9</v>
      </c>
      <c r="G881" s="36" t="n">
        <v>2.5</v>
      </c>
      <c r="H881" s="36" t="n">
        <f aca="false">F881*G881</f>
        <v>22.5</v>
      </c>
      <c r="I881" s="36" t="n">
        <f aca="false">INDEX(Inventory!$D$2:$D$17,MATCH(C881,Inventory!$A$2:$A$17,0))</f>
        <v>1.6</v>
      </c>
      <c r="J881" s="36" t="n">
        <f aca="false">F881*I881</f>
        <v>14.4</v>
      </c>
      <c r="K881" s="36" t="n">
        <f aca="false">H881-J881</f>
        <v>8.1</v>
      </c>
    </row>
    <row r="882" customFormat="false" ht="15" hidden="false" customHeight="false" outlineLevel="0" collapsed="false">
      <c r="A882" s="41" t="n">
        <v>46259</v>
      </c>
      <c r="B882" s="42" t="n">
        <f aca="false">DATE(YEAR(A882),MONTH(A882),1)</f>
        <v>46235</v>
      </c>
      <c r="C882" s="3" t="s">
        <v>39</v>
      </c>
      <c r="D882" s="3" t="s">
        <v>40</v>
      </c>
      <c r="E882" s="3" t="s">
        <v>27</v>
      </c>
      <c r="F882" s="3" t="n">
        <v>27</v>
      </c>
      <c r="G882" s="36" t="n">
        <v>1</v>
      </c>
      <c r="H882" s="36" t="n">
        <f aca="false">F882*G882</f>
        <v>27</v>
      </c>
      <c r="I882" s="36" t="n">
        <f aca="false">INDEX(Inventory!$D$2:$D$17,MATCH(C882,Inventory!$A$2:$A$17,0))</f>
        <v>0.6</v>
      </c>
      <c r="J882" s="36" t="n">
        <f aca="false">F882*I882</f>
        <v>16.2</v>
      </c>
      <c r="K882" s="36" t="n">
        <f aca="false">H882-J882</f>
        <v>10.8</v>
      </c>
    </row>
    <row r="883" customFormat="false" ht="15" hidden="false" customHeight="false" outlineLevel="0" collapsed="false">
      <c r="A883" s="41" t="n">
        <v>46259</v>
      </c>
      <c r="B883" s="42" t="n">
        <f aca="false">DATE(YEAR(A883),MONTH(A883),1)</f>
        <v>46235</v>
      </c>
      <c r="C883" s="3" t="s">
        <v>53</v>
      </c>
      <c r="D883" s="3" t="s">
        <v>54</v>
      </c>
      <c r="E883" s="3" t="s">
        <v>27</v>
      </c>
      <c r="F883" s="3" t="n">
        <v>22</v>
      </c>
      <c r="G883" s="36" t="n">
        <v>0.95</v>
      </c>
      <c r="H883" s="36" t="n">
        <f aca="false">F883*G883</f>
        <v>20.9</v>
      </c>
      <c r="I883" s="36" t="n">
        <f aca="false">INDEX(Inventory!$D$2:$D$17,MATCH(C883,Inventory!$A$2:$A$17,0))</f>
        <v>0.55</v>
      </c>
      <c r="J883" s="36" t="n">
        <f aca="false">F883*I883</f>
        <v>12.1</v>
      </c>
      <c r="K883" s="36" t="n">
        <f aca="false">H883-J883</f>
        <v>8.8</v>
      </c>
    </row>
    <row r="884" customFormat="false" ht="15" hidden="false" customHeight="false" outlineLevel="0" collapsed="false">
      <c r="A884" s="41" t="n">
        <v>46259</v>
      </c>
      <c r="B884" s="42" t="n">
        <f aca="false">DATE(YEAR(A884),MONTH(A884),1)</f>
        <v>46235</v>
      </c>
      <c r="C884" s="3" t="s">
        <v>59</v>
      </c>
      <c r="D884" s="3" t="s">
        <v>60</v>
      </c>
      <c r="E884" s="3" t="s">
        <v>27</v>
      </c>
      <c r="F884" s="3" t="n">
        <v>45</v>
      </c>
      <c r="G884" s="36" t="n">
        <v>0.6</v>
      </c>
      <c r="H884" s="36" t="n">
        <f aca="false">F884*G884</f>
        <v>27</v>
      </c>
      <c r="I884" s="36" t="n">
        <f aca="false">INDEX(Inventory!$D$2:$D$17,MATCH(C884,Inventory!$A$2:$A$17,0))</f>
        <v>0.3</v>
      </c>
      <c r="J884" s="36" t="n">
        <f aca="false">F884*I884</f>
        <v>13.5</v>
      </c>
      <c r="K884" s="36" t="n">
        <f aca="false">H884-J884</f>
        <v>13.5</v>
      </c>
    </row>
    <row r="885" customFormat="false" ht="15" hidden="false" customHeight="false" outlineLevel="0" collapsed="false">
      <c r="A885" s="41" t="n">
        <v>46259</v>
      </c>
      <c r="B885" s="42" t="n">
        <f aca="false">DATE(YEAR(A885),MONTH(A885),1)</f>
        <v>46235</v>
      </c>
      <c r="C885" s="3" t="s">
        <v>57</v>
      </c>
      <c r="D885" s="3" t="s">
        <v>58</v>
      </c>
      <c r="E885" s="3" t="s">
        <v>27</v>
      </c>
      <c r="F885" s="3" t="n">
        <v>13</v>
      </c>
      <c r="G885" s="36" t="n">
        <v>1.5</v>
      </c>
      <c r="H885" s="36" t="n">
        <f aca="false">F885*G885</f>
        <v>19.5</v>
      </c>
      <c r="I885" s="36" t="n">
        <f aca="false">INDEX(Inventory!$D$2:$D$17,MATCH(C885,Inventory!$A$2:$A$17,0))</f>
        <v>0.9</v>
      </c>
      <c r="J885" s="36" t="n">
        <f aca="false">F885*I885</f>
        <v>11.7</v>
      </c>
      <c r="K885" s="36" t="n">
        <f aca="false">H885-J885</f>
        <v>7.8</v>
      </c>
    </row>
    <row r="886" customFormat="false" ht="15" hidden="false" customHeight="false" outlineLevel="0" collapsed="false">
      <c r="A886" s="41" t="n">
        <v>46259</v>
      </c>
      <c r="B886" s="42" t="n">
        <f aca="false">DATE(YEAR(A886),MONTH(A886),1)</f>
        <v>46235</v>
      </c>
      <c r="C886" s="3" t="s">
        <v>41</v>
      </c>
      <c r="D886" s="3" t="s">
        <v>42</v>
      </c>
      <c r="E886" s="3" t="s">
        <v>28</v>
      </c>
      <c r="F886" s="3" t="n">
        <v>27</v>
      </c>
      <c r="G886" s="36" t="n">
        <v>1.3</v>
      </c>
      <c r="H886" s="36" t="n">
        <f aca="false">F886*G886</f>
        <v>35.1</v>
      </c>
      <c r="I886" s="36" t="n">
        <f aca="false">INDEX(Inventory!$D$2:$D$17,MATCH(C886,Inventory!$A$2:$A$17,0))</f>
        <v>0.8</v>
      </c>
      <c r="J886" s="36" t="n">
        <f aca="false">F886*I886</f>
        <v>21.6</v>
      </c>
      <c r="K886" s="36" t="n">
        <f aca="false">H886-J886</f>
        <v>13.5</v>
      </c>
    </row>
    <row r="887" customFormat="false" ht="15" hidden="false" customHeight="false" outlineLevel="0" collapsed="false">
      <c r="A887" s="41" t="n">
        <v>46259</v>
      </c>
      <c r="B887" s="42" t="n">
        <f aca="false">DATE(YEAR(A887),MONTH(A887),1)</f>
        <v>46235</v>
      </c>
      <c r="C887" s="3" t="s">
        <v>63</v>
      </c>
      <c r="D887" s="3" t="s">
        <v>64</v>
      </c>
      <c r="E887" s="3" t="s">
        <v>28</v>
      </c>
      <c r="F887" s="3" t="n">
        <v>11</v>
      </c>
      <c r="G887" s="36" t="n">
        <v>0.9</v>
      </c>
      <c r="H887" s="36" t="n">
        <f aca="false">F887*G887</f>
        <v>9.9</v>
      </c>
      <c r="I887" s="36" t="n">
        <f aca="false">INDEX(Inventory!$D$2:$D$17,MATCH(C887,Inventory!$A$2:$A$17,0))</f>
        <v>0.5</v>
      </c>
      <c r="J887" s="36" t="n">
        <f aca="false">F887*I887</f>
        <v>5.5</v>
      </c>
      <c r="K887" s="36" t="n">
        <f aca="false">H887-J887</f>
        <v>4.4</v>
      </c>
    </row>
    <row r="888" customFormat="false" ht="15" hidden="false" customHeight="false" outlineLevel="0" collapsed="false">
      <c r="A888" s="41" t="n">
        <v>46259</v>
      </c>
      <c r="B888" s="42" t="n">
        <f aca="false">DATE(YEAR(A888),MONTH(A888),1)</f>
        <v>46235</v>
      </c>
      <c r="C888" s="3" t="s">
        <v>49</v>
      </c>
      <c r="D888" s="3" t="s">
        <v>50</v>
      </c>
      <c r="E888" s="3" t="s">
        <v>28</v>
      </c>
      <c r="F888" s="3" t="n">
        <v>19</v>
      </c>
      <c r="G888" s="36" t="n">
        <v>1.2</v>
      </c>
      <c r="H888" s="36" t="n">
        <f aca="false">F888*G888</f>
        <v>22.8</v>
      </c>
      <c r="I888" s="36" t="n">
        <f aca="false">INDEX(Inventory!$D$2:$D$17,MATCH(C888,Inventory!$A$2:$A$17,0))</f>
        <v>0.7</v>
      </c>
      <c r="J888" s="36" t="n">
        <f aca="false">F888*I888</f>
        <v>13.3</v>
      </c>
      <c r="K888" s="36" t="n">
        <f aca="false">H888-J888</f>
        <v>9.5</v>
      </c>
    </row>
    <row r="889" customFormat="false" ht="15" hidden="false" customHeight="false" outlineLevel="0" collapsed="false">
      <c r="A889" s="41" t="n">
        <v>46259</v>
      </c>
      <c r="B889" s="42" t="n">
        <f aca="false">DATE(YEAR(A889),MONTH(A889),1)</f>
        <v>46235</v>
      </c>
      <c r="C889" s="3" t="s">
        <v>51</v>
      </c>
      <c r="D889" s="3" t="s">
        <v>52</v>
      </c>
      <c r="E889" s="3" t="s">
        <v>28</v>
      </c>
      <c r="F889" s="3" t="n">
        <v>28</v>
      </c>
      <c r="G889" s="36" t="n">
        <v>0.85</v>
      </c>
      <c r="H889" s="36" t="n">
        <f aca="false">F889*G889</f>
        <v>23.8</v>
      </c>
      <c r="I889" s="36" t="n">
        <f aca="false">INDEX(Inventory!$D$2:$D$17,MATCH(C889,Inventory!$A$2:$A$17,0))</f>
        <v>0.45</v>
      </c>
      <c r="J889" s="36" t="n">
        <f aca="false">F889*I889</f>
        <v>12.6</v>
      </c>
      <c r="K889" s="36" t="n">
        <f aca="false">H889-J889</f>
        <v>11.2</v>
      </c>
    </row>
    <row r="890" customFormat="false" ht="15" hidden="false" customHeight="false" outlineLevel="0" collapsed="false">
      <c r="A890" s="41" t="n">
        <v>46259</v>
      </c>
      <c r="B890" s="42" t="n">
        <f aca="false">DATE(YEAR(A890),MONTH(A890),1)</f>
        <v>46235</v>
      </c>
      <c r="C890" s="3" t="s">
        <v>37</v>
      </c>
      <c r="D890" s="3" t="s">
        <v>38</v>
      </c>
      <c r="E890" s="3" t="s">
        <v>26</v>
      </c>
      <c r="F890" s="3" t="n">
        <v>20</v>
      </c>
      <c r="G890" s="36" t="n">
        <v>1.2</v>
      </c>
      <c r="H890" s="36" t="n">
        <f aca="false">F890*G890</f>
        <v>24</v>
      </c>
      <c r="I890" s="36" t="n">
        <f aca="false">INDEX(Inventory!$D$2:$D$17,MATCH(C890,Inventory!$A$2:$A$17,0))</f>
        <v>0.85</v>
      </c>
      <c r="J890" s="36" t="n">
        <f aca="false">F890*I890</f>
        <v>17</v>
      </c>
      <c r="K890" s="36" t="n">
        <f aca="false">H890-J890</f>
        <v>7</v>
      </c>
    </row>
    <row r="891" customFormat="false" ht="15" hidden="false" customHeight="false" outlineLevel="0" collapsed="false">
      <c r="A891" s="41" t="n">
        <v>46259</v>
      </c>
      <c r="B891" s="42" t="n">
        <f aca="false">DATE(YEAR(A891),MONTH(A891),1)</f>
        <v>46235</v>
      </c>
      <c r="C891" s="3" t="s">
        <v>47</v>
      </c>
      <c r="D891" s="3" t="s">
        <v>48</v>
      </c>
      <c r="E891" s="3" t="s">
        <v>26</v>
      </c>
      <c r="F891" s="3" t="n">
        <v>13</v>
      </c>
      <c r="G891" s="36" t="n">
        <v>2.2</v>
      </c>
      <c r="H891" s="36" t="n">
        <f aca="false">F891*G891</f>
        <v>28.6</v>
      </c>
      <c r="I891" s="36" t="n">
        <f aca="false">INDEX(Inventory!$D$2:$D$17,MATCH(C891,Inventory!$A$2:$A$17,0))</f>
        <v>1.4</v>
      </c>
      <c r="J891" s="36" t="n">
        <f aca="false">F891*I891</f>
        <v>18.2</v>
      </c>
      <c r="K891" s="36" t="n">
        <f aca="false">H891-J891</f>
        <v>10.4</v>
      </c>
    </row>
    <row r="892" customFormat="false" ht="15" hidden="false" customHeight="false" outlineLevel="0" collapsed="false">
      <c r="A892" s="41" t="n">
        <v>46259</v>
      </c>
      <c r="B892" s="42" t="n">
        <f aca="false">DATE(YEAR(A892),MONTH(A892),1)</f>
        <v>46235</v>
      </c>
      <c r="C892" s="3" t="s">
        <v>43</v>
      </c>
      <c r="D892" s="3" t="s">
        <v>44</v>
      </c>
      <c r="E892" s="3" t="s">
        <v>26</v>
      </c>
      <c r="F892" s="3" t="n">
        <v>6</v>
      </c>
      <c r="G892" s="36" t="n">
        <v>3.8</v>
      </c>
      <c r="H892" s="36" t="n">
        <f aca="false">F892*G892</f>
        <v>22.8</v>
      </c>
      <c r="I892" s="36" t="n">
        <f aca="false">INDEX(Inventory!$D$2:$D$17,MATCH(C892,Inventory!$A$2:$A$17,0))</f>
        <v>2.6</v>
      </c>
      <c r="J892" s="36" t="n">
        <f aca="false">F892*I892</f>
        <v>15.6</v>
      </c>
      <c r="K892" s="36" t="n">
        <f aca="false">H892-J892</f>
        <v>7.2</v>
      </c>
    </row>
    <row r="893" customFormat="false" ht="15" hidden="false" customHeight="false" outlineLevel="0" collapsed="false">
      <c r="A893" s="41" t="n">
        <v>46259</v>
      </c>
      <c r="B893" s="42" t="n">
        <f aca="false">DATE(YEAR(A893),MONTH(A893),1)</f>
        <v>46235</v>
      </c>
      <c r="C893" s="3" t="s">
        <v>67</v>
      </c>
      <c r="D893" s="3" t="s">
        <v>68</v>
      </c>
      <c r="E893" s="3" t="s">
        <v>26</v>
      </c>
      <c r="F893" s="3" t="n">
        <v>5</v>
      </c>
      <c r="G893" s="36" t="n">
        <v>1.9</v>
      </c>
      <c r="H893" s="36" t="n">
        <f aca="false">F893*G893</f>
        <v>9.5</v>
      </c>
      <c r="I893" s="36" t="n">
        <f aca="false">INDEX(Inventory!$D$2:$D$17,MATCH(C893,Inventory!$A$2:$A$17,0))</f>
        <v>1.3</v>
      </c>
      <c r="J893" s="36" t="n">
        <f aca="false">F893*I893</f>
        <v>6.5</v>
      </c>
      <c r="K893" s="36" t="n">
        <f aca="false">H893-J893</f>
        <v>3</v>
      </c>
    </row>
    <row r="894" customFormat="false" ht="15" hidden="false" customHeight="false" outlineLevel="0" collapsed="false">
      <c r="A894" s="41" t="n">
        <v>46259</v>
      </c>
      <c r="B894" s="42" t="n">
        <f aca="false">DATE(YEAR(A894),MONTH(A894),1)</f>
        <v>46235</v>
      </c>
      <c r="C894" s="3" t="s">
        <v>61</v>
      </c>
      <c r="D894" s="3" t="s">
        <v>62</v>
      </c>
      <c r="E894" s="3" t="s">
        <v>29</v>
      </c>
      <c r="F894" s="3" t="n">
        <v>9</v>
      </c>
      <c r="G894" s="36" t="n">
        <v>1.9</v>
      </c>
      <c r="H894" s="36" t="n">
        <f aca="false">F894*G894</f>
        <v>17.1</v>
      </c>
      <c r="I894" s="36" t="n">
        <f aca="false">INDEX(Inventory!$D$2:$D$17,MATCH(C894,Inventory!$A$2:$A$17,0))</f>
        <v>1.1</v>
      </c>
      <c r="J894" s="36" t="n">
        <f aca="false">F894*I894</f>
        <v>9.9</v>
      </c>
      <c r="K894" s="36" t="n">
        <f aca="false">H894-J894</f>
        <v>7.2</v>
      </c>
    </row>
    <row r="895" customFormat="false" ht="15" hidden="false" customHeight="false" outlineLevel="0" collapsed="false">
      <c r="A895" s="41" t="n">
        <v>46259</v>
      </c>
      <c r="B895" s="42" t="n">
        <f aca="false">DATE(YEAR(A895),MONTH(A895),1)</f>
        <v>46235</v>
      </c>
      <c r="C895" s="3" t="s">
        <v>45</v>
      </c>
      <c r="D895" s="3" t="s">
        <v>46</v>
      </c>
      <c r="E895" s="3" t="s">
        <v>29</v>
      </c>
      <c r="F895" s="3" t="n">
        <v>8</v>
      </c>
      <c r="G895" s="36" t="n">
        <v>5.2</v>
      </c>
      <c r="H895" s="36" t="n">
        <f aca="false">F895*G895</f>
        <v>41.6</v>
      </c>
      <c r="I895" s="36" t="n">
        <f aca="false">INDEX(Inventory!$D$2:$D$17,MATCH(C895,Inventory!$A$2:$A$17,0))</f>
        <v>3.5</v>
      </c>
      <c r="J895" s="36" t="n">
        <f aca="false">F895*I895</f>
        <v>28</v>
      </c>
      <c r="K895" s="36" t="n">
        <f aca="false">H895-J895</f>
        <v>13.6</v>
      </c>
    </row>
    <row r="896" customFormat="false" ht="15" hidden="false" customHeight="false" outlineLevel="0" collapsed="false">
      <c r="A896" s="41" t="n">
        <v>46259</v>
      </c>
      <c r="B896" s="42" t="n">
        <f aca="false">DATE(YEAR(A896),MONTH(A896),1)</f>
        <v>46235</v>
      </c>
      <c r="C896" s="3" t="s">
        <v>65</v>
      </c>
      <c r="D896" s="3" t="s">
        <v>66</v>
      </c>
      <c r="E896" s="3" t="s">
        <v>29</v>
      </c>
      <c r="F896" s="3" t="n">
        <v>9</v>
      </c>
      <c r="G896" s="36" t="n">
        <v>1.5</v>
      </c>
      <c r="H896" s="36" t="n">
        <f aca="false">F896*G896</f>
        <v>13.5</v>
      </c>
      <c r="I896" s="36" t="n">
        <f aca="false">INDEX(Inventory!$D$2:$D$17,MATCH(C896,Inventory!$A$2:$A$17,0))</f>
        <v>0.9</v>
      </c>
      <c r="J896" s="36" t="n">
        <f aca="false">F896*I896</f>
        <v>8.1</v>
      </c>
      <c r="K896" s="36" t="n">
        <f aca="false">H896-J896</f>
        <v>5.4</v>
      </c>
    </row>
    <row r="897" customFormat="false" ht="15" hidden="false" customHeight="false" outlineLevel="0" collapsed="false">
      <c r="A897" s="41" t="n">
        <v>46259</v>
      </c>
      <c r="B897" s="42" t="n">
        <f aca="false">DATE(YEAR(A897),MONTH(A897),1)</f>
        <v>46235</v>
      </c>
      <c r="C897" s="3" t="s">
        <v>55</v>
      </c>
      <c r="D897" s="3" t="s">
        <v>56</v>
      </c>
      <c r="E897" s="3" t="s">
        <v>29</v>
      </c>
      <c r="F897" s="3" t="n">
        <v>9</v>
      </c>
      <c r="G897" s="36" t="n">
        <v>2.5</v>
      </c>
      <c r="H897" s="36" t="n">
        <f aca="false">F897*G897</f>
        <v>22.5</v>
      </c>
      <c r="I897" s="36" t="n">
        <f aca="false">INDEX(Inventory!$D$2:$D$17,MATCH(C897,Inventory!$A$2:$A$17,0))</f>
        <v>1.6</v>
      </c>
      <c r="J897" s="36" t="n">
        <f aca="false">F897*I897</f>
        <v>14.4</v>
      </c>
      <c r="K897" s="36" t="n">
        <f aca="false">H897-J897</f>
        <v>8.1</v>
      </c>
    </row>
    <row r="898" customFormat="false" ht="15" hidden="false" customHeight="false" outlineLevel="0" collapsed="false">
      <c r="A898" s="41" t="n">
        <v>46260</v>
      </c>
      <c r="B898" s="42" t="n">
        <f aca="false">DATE(YEAR(A898),MONTH(A898),1)</f>
        <v>46235</v>
      </c>
      <c r="C898" s="3" t="s">
        <v>39</v>
      </c>
      <c r="D898" s="3" t="s">
        <v>40</v>
      </c>
      <c r="E898" s="3" t="s">
        <v>27</v>
      </c>
      <c r="F898" s="3" t="n">
        <v>22</v>
      </c>
      <c r="G898" s="36" t="n">
        <v>1</v>
      </c>
      <c r="H898" s="36" t="n">
        <f aca="false">F898*G898</f>
        <v>22</v>
      </c>
      <c r="I898" s="36" t="n">
        <f aca="false">INDEX(Inventory!$D$2:$D$17,MATCH(C898,Inventory!$A$2:$A$17,0))</f>
        <v>0.6</v>
      </c>
      <c r="J898" s="36" t="n">
        <f aca="false">F898*I898</f>
        <v>13.2</v>
      </c>
      <c r="K898" s="36" t="n">
        <f aca="false">H898-J898</f>
        <v>8.8</v>
      </c>
    </row>
    <row r="899" customFormat="false" ht="15" hidden="false" customHeight="false" outlineLevel="0" collapsed="false">
      <c r="A899" s="41" t="n">
        <v>46260</v>
      </c>
      <c r="B899" s="42" t="n">
        <f aca="false">DATE(YEAR(A899),MONTH(A899),1)</f>
        <v>46235</v>
      </c>
      <c r="C899" s="3" t="s">
        <v>53</v>
      </c>
      <c r="D899" s="3" t="s">
        <v>54</v>
      </c>
      <c r="E899" s="3" t="s">
        <v>27</v>
      </c>
      <c r="F899" s="3" t="n">
        <v>19</v>
      </c>
      <c r="G899" s="36" t="n">
        <v>0.95</v>
      </c>
      <c r="H899" s="36" t="n">
        <f aca="false">F899*G899</f>
        <v>18.05</v>
      </c>
      <c r="I899" s="36" t="n">
        <f aca="false">INDEX(Inventory!$D$2:$D$17,MATCH(C899,Inventory!$A$2:$A$17,0))</f>
        <v>0.55</v>
      </c>
      <c r="J899" s="36" t="n">
        <f aca="false">F899*I899</f>
        <v>10.45</v>
      </c>
      <c r="K899" s="36" t="n">
        <f aca="false">H899-J899</f>
        <v>7.6</v>
      </c>
    </row>
    <row r="900" customFormat="false" ht="15" hidden="false" customHeight="false" outlineLevel="0" collapsed="false">
      <c r="A900" s="41" t="n">
        <v>46260</v>
      </c>
      <c r="B900" s="42" t="n">
        <f aca="false">DATE(YEAR(A900),MONTH(A900),1)</f>
        <v>46235</v>
      </c>
      <c r="C900" s="3" t="s">
        <v>59</v>
      </c>
      <c r="D900" s="3" t="s">
        <v>60</v>
      </c>
      <c r="E900" s="3" t="s">
        <v>27</v>
      </c>
      <c r="F900" s="3" t="n">
        <v>22</v>
      </c>
      <c r="G900" s="36" t="n">
        <v>0.6</v>
      </c>
      <c r="H900" s="36" t="n">
        <f aca="false">F900*G900</f>
        <v>13.2</v>
      </c>
      <c r="I900" s="36" t="n">
        <f aca="false">INDEX(Inventory!$D$2:$D$17,MATCH(C900,Inventory!$A$2:$A$17,0))</f>
        <v>0.3</v>
      </c>
      <c r="J900" s="36" t="n">
        <f aca="false">F900*I900</f>
        <v>6.6</v>
      </c>
      <c r="K900" s="36" t="n">
        <f aca="false">H900-J900</f>
        <v>6.6</v>
      </c>
    </row>
    <row r="901" customFormat="false" ht="15" hidden="false" customHeight="false" outlineLevel="0" collapsed="false">
      <c r="A901" s="41" t="n">
        <v>46260</v>
      </c>
      <c r="B901" s="42" t="n">
        <f aca="false">DATE(YEAR(A901),MONTH(A901),1)</f>
        <v>46235</v>
      </c>
      <c r="C901" s="3" t="s">
        <v>57</v>
      </c>
      <c r="D901" s="3" t="s">
        <v>58</v>
      </c>
      <c r="E901" s="3" t="s">
        <v>27</v>
      </c>
      <c r="F901" s="3" t="n">
        <v>11</v>
      </c>
      <c r="G901" s="36" t="n">
        <v>1.5</v>
      </c>
      <c r="H901" s="36" t="n">
        <f aca="false">F901*G901</f>
        <v>16.5</v>
      </c>
      <c r="I901" s="36" t="n">
        <f aca="false">INDEX(Inventory!$D$2:$D$17,MATCH(C901,Inventory!$A$2:$A$17,0))</f>
        <v>0.9</v>
      </c>
      <c r="J901" s="36" t="n">
        <f aca="false">F901*I901</f>
        <v>9.9</v>
      </c>
      <c r="K901" s="36" t="n">
        <f aca="false">H901-J901</f>
        <v>6.6</v>
      </c>
    </row>
    <row r="902" customFormat="false" ht="15" hidden="false" customHeight="false" outlineLevel="0" collapsed="false">
      <c r="A902" s="41" t="n">
        <v>46260</v>
      </c>
      <c r="B902" s="42" t="n">
        <f aca="false">DATE(YEAR(A902),MONTH(A902),1)</f>
        <v>46235</v>
      </c>
      <c r="C902" s="3" t="s">
        <v>41</v>
      </c>
      <c r="D902" s="3" t="s">
        <v>42</v>
      </c>
      <c r="E902" s="3" t="s">
        <v>28</v>
      </c>
      <c r="F902" s="3" t="n">
        <v>25</v>
      </c>
      <c r="G902" s="36" t="n">
        <v>1.3</v>
      </c>
      <c r="H902" s="36" t="n">
        <f aca="false">F902*G902</f>
        <v>32.5</v>
      </c>
      <c r="I902" s="36" t="n">
        <f aca="false">INDEX(Inventory!$D$2:$D$17,MATCH(C902,Inventory!$A$2:$A$17,0))</f>
        <v>0.8</v>
      </c>
      <c r="J902" s="36" t="n">
        <f aca="false">F902*I902</f>
        <v>20</v>
      </c>
      <c r="K902" s="36" t="n">
        <f aca="false">H902-J902</f>
        <v>12.5</v>
      </c>
    </row>
    <row r="903" customFormat="false" ht="15" hidden="false" customHeight="false" outlineLevel="0" collapsed="false">
      <c r="A903" s="41" t="n">
        <v>46260</v>
      </c>
      <c r="B903" s="42" t="n">
        <f aca="false">DATE(YEAR(A903),MONTH(A903),1)</f>
        <v>46235</v>
      </c>
      <c r="C903" s="3" t="s">
        <v>63</v>
      </c>
      <c r="D903" s="3" t="s">
        <v>64</v>
      </c>
      <c r="E903" s="3" t="s">
        <v>28</v>
      </c>
      <c r="F903" s="3" t="n">
        <v>14</v>
      </c>
      <c r="G903" s="36" t="n">
        <v>0.9</v>
      </c>
      <c r="H903" s="36" t="n">
        <f aca="false">F903*G903</f>
        <v>12.6</v>
      </c>
      <c r="I903" s="36" t="n">
        <f aca="false">INDEX(Inventory!$D$2:$D$17,MATCH(C903,Inventory!$A$2:$A$17,0))</f>
        <v>0.5</v>
      </c>
      <c r="J903" s="36" t="n">
        <f aca="false">F903*I903</f>
        <v>7</v>
      </c>
      <c r="K903" s="36" t="n">
        <f aca="false">H903-J903</f>
        <v>5.6</v>
      </c>
    </row>
    <row r="904" customFormat="false" ht="15" hidden="false" customHeight="false" outlineLevel="0" collapsed="false">
      <c r="A904" s="41" t="n">
        <v>46260</v>
      </c>
      <c r="B904" s="42" t="n">
        <f aca="false">DATE(YEAR(A904),MONTH(A904),1)</f>
        <v>46235</v>
      </c>
      <c r="C904" s="3" t="s">
        <v>49</v>
      </c>
      <c r="D904" s="3" t="s">
        <v>50</v>
      </c>
      <c r="E904" s="3" t="s">
        <v>28</v>
      </c>
      <c r="F904" s="3" t="n">
        <v>22</v>
      </c>
      <c r="G904" s="36" t="n">
        <v>1.2</v>
      </c>
      <c r="H904" s="36" t="n">
        <f aca="false">F904*G904</f>
        <v>26.4</v>
      </c>
      <c r="I904" s="36" t="n">
        <f aca="false">INDEX(Inventory!$D$2:$D$17,MATCH(C904,Inventory!$A$2:$A$17,0))</f>
        <v>0.7</v>
      </c>
      <c r="J904" s="36" t="n">
        <f aca="false">F904*I904</f>
        <v>15.4</v>
      </c>
      <c r="K904" s="36" t="n">
        <f aca="false">H904-J904</f>
        <v>11</v>
      </c>
    </row>
    <row r="905" customFormat="false" ht="15" hidden="false" customHeight="false" outlineLevel="0" collapsed="false">
      <c r="A905" s="41" t="n">
        <v>46260</v>
      </c>
      <c r="B905" s="42" t="n">
        <f aca="false">DATE(YEAR(A905),MONTH(A905),1)</f>
        <v>46235</v>
      </c>
      <c r="C905" s="3" t="s">
        <v>51</v>
      </c>
      <c r="D905" s="3" t="s">
        <v>52</v>
      </c>
      <c r="E905" s="3" t="s">
        <v>28</v>
      </c>
      <c r="F905" s="3" t="n">
        <v>22</v>
      </c>
      <c r="G905" s="36" t="n">
        <v>0.85</v>
      </c>
      <c r="H905" s="36" t="n">
        <f aca="false">F905*G905</f>
        <v>18.7</v>
      </c>
      <c r="I905" s="36" t="n">
        <f aca="false">INDEX(Inventory!$D$2:$D$17,MATCH(C905,Inventory!$A$2:$A$17,0))</f>
        <v>0.45</v>
      </c>
      <c r="J905" s="36" t="n">
        <f aca="false">F905*I905</f>
        <v>9.9</v>
      </c>
      <c r="K905" s="36" t="n">
        <f aca="false">H905-J905</f>
        <v>8.8</v>
      </c>
    </row>
    <row r="906" customFormat="false" ht="15" hidden="false" customHeight="false" outlineLevel="0" collapsed="false">
      <c r="A906" s="41" t="n">
        <v>46260</v>
      </c>
      <c r="B906" s="42" t="n">
        <f aca="false">DATE(YEAR(A906),MONTH(A906),1)</f>
        <v>46235</v>
      </c>
      <c r="C906" s="3" t="s">
        <v>37</v>
      </c>
      <c r="D906" s="3" t="s">
        <v>38</v>
      </c>
      <c r="E906" s="3" t="s">
        <v>26</v>
      </c>
      <c r="F906" s="3" t="n">
        <v>24</v>
      </c>
      <c r="G906" s="36" t="n">
        <v>1.2</v>
      </c>
      <c r="H906" s="36" t="n">
        <f aca="false">F906*G906</f>
        <v>28.8</v>
      </c>
      <c r="I906" s="36" t="n">
        <f aca="false">INDEX(Inventory!$D$2:$D$17,MATCH(C906,Inventory!$A$2:$A$17,0))</f>
        <v>0.85</v>
      </c>
      <c r="J906" s="36" t="n">
        <f aca="false">F906*I906</f>
        <v>20.4</v>
      </c>
      <c r="K906" s="36" t="n">
        <f aca="false">H906-J906</f>
        <v>8.4</v>
      </c>
    </row>
    <row r="907" customFormat="false" ht="15" hidden="false" customHeight="false" outlineLevel="0" collapsed="false">
      <c r="A907" s="41" t="n">
        <v>46260</v>
      </c>
      <c r="B907" s="42" t="n">
        <f aca="false">DATE(YEAR(A907),MONTH(A907),1)</f>
        <v>46235</v>
      </c>
      <c r="C907" s="3" t="s">
        <v>47</v>
      </c>
      <c r="D907" s="3" t="s">
        <v>48</v>
      </c>
      <c r="E907" s="3" t="s">
        <v>26</v>
      </c>
      <c r="F907" s="3" t="n">
        <v>14</v>
      </c>
      <c r="G907" s="36" t="n">
        <v>2.2</v>
      </c>
      <c r="H907" s="36" t="n">
        <f aca="false">F907*G907</f>
        <v>30.8</v>
      </c>
      <c r="I907" s="36" t="n">
        <f aca="false">INDEX(Inventory!$D$2:$D$17,MATCH(C907,Inventory!$A$2:$A$17,0))</f>
        <v>1.4</v>
      </c>
      <c r="J907" s="36" t="n">
        <f aca="false">F907*I907</f>
        <v>19.6</v>
      </c>
      <c r="K907" s="36" t="n">
        <f aca="false">H907-J907</f>
        <v>11.2</v>
      </c>
    </row>
    <row r="908" customFormat="false" ht="15" hidden="false" customHeight="false" outlineLevel="0" collapsed="false">
      <c r="A908" s="41" t="n">
        <v>46260</v>
      </c>
      <c r="B908" s="42" t="n">
        <f aca="false">DATE(YEAR(A908),MONTH(A908),1)</f>
        <v>46235</v>
      </c>
      <c r="C908" s="3" t="s">
        <v>43</v>
      </c>
      <c r="D908" s="3" t="s">
        <v>44</v>
      </c>
      <c r="E908" s="3" t="s">
        <v>26</v>
      </c>
      <c r="F908" s="3" t="n">
        <v>6</v>
      </c>
      <c r="G908" s="36" t="n">
        <v>3.8</v>
      </c>
      <c r="H908" s="36" t="n">
        <f aca="false">F908*G908</f>
        <v>22.8</v>
      </c>
      <c r="I908" s="36" t="n">
        <f aca="false">INDEX(Inventory!$D$2:$D$17,MATCH(C908,Inventory!$A$2:$A$17,0))</f>
        <v>2.6</v>
      </c>
      <c r="J908" s="36" t="n">
        <f aca="false">F908*I908</f>
        <v>15.6</v>
      </c>
      <c r="K908" s="36" t="n">
        <f aca="false">H908-J908</f>
        <v>7.2</v>
      </c>
    </row>
    <row r="909" customFormat="false" ht="15" hidden="false" customHeight="false" outlineLevel="0" collapsed="false">
      <c r="A909" s="41" t="n">
        <v>46260</v>
      </c>
      <c r="B909" s="42" t="n">
        <f aca="false">DATE(YEAR(A909),MONTH(A909),1)</f>
        <v>46235</v>
      </c>
      <c r="C909" s="3" t="s">
        <v>67</v>
      </c>
      <c r="D909" s="3" t="s">
        <v>68</v>
      </c>
      <c r="E909" s="3" t="s">
        <v>26</v>
      </c>
      <c r="F909" s="3" t="n">
        <v>4</v>
      </c>
      <c r="G909" s="36" t="n">
        <v>1.9</v>
      </c>
      <c r="H909" s="36" t="n">
        <f aca="false">F909*G909</f>
        <v>7.6</v>
      </c>
      <c r="I909" s="36" t="n">
        <f aca="false">INDEX(Inventory!$D$2:$D$17,MATCH(C909,Inventory!$A$2:$A$17,0))</f>
        <v>1.3</v>
      </c>
      <c r="J909" s="36" t="n">
        <f aca="false">F909*I909</f>
        <v>5.2</v>
      </c>
      <c r="K909" s="36" t="n">
        <f aca="false">H909-J909</f>
        <v>2.4</v>
      </c>
    </row>
    <row r="910" customFormat="false" ht="15" hidden="false" customHeight="false" outlineLevel="0" collapsed="false">
      <c r="A910" s="41" t="n">
        <v>46260</v>
      </c>
      <c r="B910" s="42" t="n">
        <f aca="false">DATE(YEAR(A910),MONTH(A910),1)</f>
        <v>46235</v>
      </c>
      <c r="C910" s="3" t="s">
        <v>61</v>
      </c>
      <c r="D910" s="3" t="s">
        <v>62</v>
      </c>
      <c r="E910" s="3" t="s">
        <v>29</v>
      </c>
      <c r="F910" s="3" t="n">
        <v>12</v>
      </c>
      <c r="G910" s="36" t="n">
        <v>1.9</v>
      </c>
      <c r="H910" s="36" t="n">
        <f aca="false">F910*G910</f>
        <v>22.8</v>
      </c>
      <c r="I910" s="36" t="n">
        <f aca="false">INDEX(Inventory!$D$2:$D$17,MATCH(C910,Inventory!$A$2:$A$17,0))</f>
        <v>1.1</v>
      </c>
      <c r="J910" s="36" t="n">
        <f aca="false">F910*I910</f>
        <v>13.2</v>
      </c>
      <c r="K910" s="36" t="n">
        <f aca="false">H910-J910</f>
        <v>9.6</v>
      </c>
    </row>
    <row r="911" customFormat="false" ht="15" hidden="false" customHeight="false" outlineLevel="0" collapsed="false">
      <c r="A911" s="41" t="n">
        <v>46260</v>
      </c>
      <c r="B911" s="42" t="n">
        <f aca="false">DATE(YEAR(A911),MONTH(A911),1)</f>
        <v>46235</v>
      </c>
      <c r="C911" s="3" t="s">
        <v>45</v>
      </c>
      <c r="D911" s="3" t="s">
        <v>46</v>
      </c>
      <c r="E911" s="3" t="s">
        <v>29</v>
      </c>
      <c r="F911" s="3" t="n">
        <v>6</v>
      </c>
      <c r="G911" s="36" t="n">
        <v>5.2</v>
      </c>
      <c r="H911" s="36" t="n">
        <f aca="false">F911*G911</f>
        <v>31.2</v>
      </c>
      <c r="I911" s="36" t="n">
        <f aca="false">INDEX(Inventory!$D$2:$D$17,MATCH(C911,Inventory!$A$2:$A$17,0))</f>
        <v>3.5</v>
      </c>
      <c r="J911" s="36" t="n">
        <f aca="false">F911*I911</f>
        <v>21</v>
      </c>
      <c r="K911" s="36" t="n">
        <f aca="false">H911-J911</f>
        <v>10.2</v>
      </c>
    </row>
    <row r="912" customFormat="false" ht="15" hidden="false" customHeight="false" outlineLevel="0" collapsed="false">
      <c r="A912" s="41" t="n">
        <v>46260</v>
      </c>
      <c r="B912" s="42" t="n">
        <f aca="false">DATE(YEAR(A912),MONTH(A912),1)</f>
        <v>46235</v>
      </c>
      <c r="C912" s="3" t="s">
        <v>65</v>
      </c>
      <c r="D912" s="3" t="s">
        <v>66</v>
      </c>
      <c r="E912" s="3" t="s">
        <v>29</v>
      </c>
      <c r="F912" s="3" t="n">
        <v>4</v>
      </c>
      <c r="G912" s="36" t="n">
        <v>1.5</v>
      </c>
      <c r="H912" s="36" t="n">
        <f aca="false">F912*G912</f>
        <v>6</v>
      </c>
      <c r="I912" s="36" t="n">
        <f aca="false">INDEX(Inventory!$D$2:$D$17,MATCH(C912,Inventory!$A$2:$A$17,0))</f>
        <v>0.9</v>
      </c>
      <c r="J912" s="36" t="n">
        <f aca="false">F912*I912</f>
        <v>3.6</v>
      </c>
      <c r="K912" s="36" t="n">
        <f aca="false">H912-J912</f>
        <v>2.4</v>
      </c>
    </row>
    <row r="913" customFormat="false" ht="15" hidden="false" customHeight="false" outlineLevel="0" collapsed="false">
      <c r="A913" s="41" t="n">
        <v>46260</v>
      </c>
      <c r="B913" s="42" t="n">
        <f aca="false">DATE(YEAR(A913),MONTH(A913),1)</f>
        <v>46235</v>
      </c>
      <c r="C913" s="3" t="s">
        <v>55</v>
      </c>
      <c r="D913" s="3" t="s">
        <v>56</v>
      </c>
      <c r="E913" s="3" t="s">
        <v>29</v>
      </c>
      <c r="F913" s="3" t="n">
        <v>7</v>
      </c>
      <c r="G913" s="36" t="n">
        <v>2.5</v>
      </c>
      <c r="H913" s="36" t="n">
        <f aca="false">F913*G913</f>
        <v>17.5</v>
      </c>
      <c r="I913" s="36" t="n">
        <f aca="false">INDEX(Inventory!$D$2:$D$17,MATCH(C913,Inventory!$A$2:$A$17,0))</f>
        <v>1.6</v>
      </c>
      <c r="J913" s="36" t="n">
        <f aca="false">F913*I913</f>
        <v>11.2</v>
      </c>
      <c r="K913" s="36" t="n">
        <f aca="false">H913-J913</f>
        <v>6.3</v>
      </c>
    </row>
    <row r="914" customFormat="false" ht="15" hidden="false" customHeight="false" outlineLevel="0" collapsed="false">
      <c r="A914" s="41" t="n">
        <v>46261</v>
      </c>
      <c r="B914" s="42" t="n">
        <f aca="false">DATE(YEAR(A914),MONTH(A914),1)</f>
        <v>46235</v>
      </c>
      <c r="C914" s="3" t="s">
        <v>39</v>
      </c>
      <c r="D914" s="3" t="s">
        <v>40</v>
      </c>
      <c r="E914" s="3" t="s">
        <v>27</v>
      </c>
      <c r="F914" s="3" t="n">
        <v>24</v>
      </c>
      <c r="G914" s="36" t="n">
        <v>1</v>
      </c>
      <c r="H914" s="36" t="n">
        <f aca="false">F914*G914</f>
        <v>24</v>
      </c>
      <c r="I914" s="36" t="n">
        <f aca="false">INDEX(Inventory!$D$2:$D$17,MATCH(C914,Inventory!$A$2:$A$17,0))</f>
        <v>0.6</v>
      </c>
      <c r="J914" s="36" t="n">
        <f aca="false">F914*I914</f>
        <v>14.4</v>
      </c>
      <c r="K914" s="36" t="n">
        <f aca="false">H914-J914</f>
        <v>9.6</v>
      </c>
    </row>
    <row r="915" customFormat="false" ht="15" hidden="false" customHeight="false" outlineLevel="0" collapsed="false">
      <c r="A915" s="41" t="n">
        <v>46261</v>
      </c>
      <c r="B915" s="42" t="n">
        <f aca="false">DATE(YEAR(A915),MONTH(A915),1)</f>
        <v>46235</v>
      </c>
      <c r="C915" s="3" t="s">
        <v>53</v>
      </c>
      <c r="D915" s="3" t="s">
        <v>54</v>
      </c>
      <c r="E915" s="3" t="s">
        <v>27</v>
      </c>
      <c r="F915" s="3" t="n">
        <v>27</v>
      </c>
      <c r="G915" s="36" t="n">
        <v>0.95</v>
      </c>
      <c r="H915" s="36" t="n">
        <f aca="false">F915*G915</f>
        <v>25.65</v>
      </c>
      <c r="I915" s="36" t="n">
        <f aca="false">INDEX(Inventory!$D$2:$D$17,MATCH(C915,Inventory!$A$2:$A$17,0))</f>
        <v>0.55</v>
      </c>
      <c r="J915" s="36" t="n">
        <f aca="false">F915*I915</f>
        <v>14.85</v>
      </c>
      <c r="K915" s="36" t="n">
        <f aca="false">H915-J915</f>
        <v>10.8</v>
      </c>
    </row>
    <row r="916" customFormat="false" ht="15" hidden="false" customHeight="false" outlineLevel="0" collapsed="false">
      <c r="A916" s="41" t="n">
        <v>46261</v>
      </c>
      <c r="B916" s="42" t="n">
        <f aca="false">DATE(YEAR(A916),MONTH(A916),1)</f>
        <v>46235</v>
      </c>
      <c r="C916" s="3" t="s">
        <v>59</v>
      </c>
      <c r="D916" s="3" t="s">
        <v>60</v>
      </c>
      <c r="E916" s="3" t="s">
        <v>27</v>
      </c>
      <c r="F916" s="3" t="n">
        <v>26</v>
      </c>
      <c r="G916" s="36" t="n">
        <v>0.6</v>
      </c>
      <c r="H916" s="36" t="n">
        <f aca="false">F916*G916</f>
        <v>15.6</v>
      </c>
      <c r="I916" s="36" t="n">
        <f aca="false">INDEX(Inventory!$D$2:$D$17,MATCH(C916,Inventory!$A$2:$A$17,0))</f>
        <v>0.3</v>
      </c>
      <c r="J916" s="36" t="n">
        <f aca="false">F916*I916</f>
        <v>7.8</v>
      </c>
      <c r="K916" s="36" t="n">
        <f aca="false">H916-J916</f>
        <v>7.8</v>
      </c>
    </row>
    <row r="917" customFormat="false" ht="15" hidden="false" customHeight="false" outlineLevel="0" collapsed="false">
      <c r="A917" s="41" t="n">
        <v>46261</v>
      </c>
      <c r="B917" s="42" t="n">
        <f aca="false">DATE(YEAR(A917),MONTH(A917),1)</f>
        <v>46235</v>
      </c>
      <c r="C917" s="3" t="s">
        <v>57</v>
      </c>
      <c r="D917" s="3" t="s">
        <v>58</v>
      </c>
      <c r="E917" s="3" t="s">
        <v>27</v>
      </c>
      <c r="F917" s="3" t="n">
        <v>11</v>
      </c>
      <c r="G917" s="36" t="n">
        <v>1.5</v>
      </c>
      <c r="H917" s="36" t="n">
        <f aca="false">F917*G917</f>
        <v>16.5</v>
      </c>
      <c r="I917" s="36" t="n">
        <f aca="false">INDEX(Inventory!$D$2:$D$17,MATCH(C917,Inventory!$A$2:$A$17,0))</f>
        <v>0.9</v>
      </c>
      <c r="J917" s="36" t="n">
        <f aca="false">F917*I917</f>
        <v>9.9</v>
      </c>
      <c r="K917" s="36" t="n">
        <f aca="false">H917-J917</f>
        <v>6.6</v>
      </c>
    </row>
    <row r="918" customFormat="false" ht="15" hidden="false" customHeight="false" outlineLevel="0" collapsed="false">
      <c r="A918" s="41" t="n">
        <v>46261</v>
      </c>
      <c r="B918" s="42" t="n">
        <f aca="false">DATE(YEAR(A918),MONTH(A918),1)</f>
        <v>46235</v>
      </c>
      <c r="C918" s="3" t="s">
        <v>41</v>
      </c>
      <c r="D918" s="3" t="s">
        <v>42</v>
      </c>
      <c r="E918" s="3" t="s">
        <v>28</v>
      </c>
      <c r="F918" s="3" t="n">
        <v>16</v>
      </c>
      <c r="G918" s="36" t="n">
        <v>1.3</v>
      </c>
      <c r="H918" s="36" t="n">
        <f aca="false">F918*G918</f>
        <v>20.8</v>
      </c>
      <c r="I918" s="36" t="n">
        <f aca="false">INDEX(Inventory!$D$2:$D$17,MATCH(C918,Inventory!$A$2:$A$17,0))</f>
        <v>0.8</v>
      </c>
      <c r="J918" s="36" t="n">
        <f aca="false">F918*I918</f>
        <v>12.8</v>
      </c>
      <c r="K918" s="36" t="n">
        <f aca="false">H918-J918</f>
        <v>8</v>
      </c>
    </row>
    <row r="919" customFormat="false" ht="15" hidden="false" customHeight="false" outlineLevel="0" collapsed="false">
      <c r="A919" s="41" t="n">
        <v>46261</v>
      </c>
      <c r="B919" s="42" t="n">
        <f aca="false">DATE(YEAR(A919),MONTH(A919),1)</f>
        <v>46235</v>
      </c>
      <c r="C919" s="3" t="s">
        <v>63</v>
      </c>
      <c r="D919" s="3" t="s">
        <v>64</v>
      </c>
      <c r="E919" s="3" t="s">
        <v>28</v>
      </c>
      <c r="F919" s="3" t="n">
        <v>11</v>
      </c>
      <c r="G919" s="36" t="n">
        <v>0.9</v>
      </c>
      <c r="H919" s="36" t="n">
        <f aca="false">F919*G919</f>
        <v>9.9</v>
      </c>
      <c r="I919" s="36" t="n">
        <f aca="false">INDEX(Inventory!$D$2:$D$17,MATCH(C919,Inventory!$A$2:$A$17,0))</f>
        <v>0.5</v>
      </c>
      <c r="J919" s="36" t="n">
        <f aca="false">F919*I919</f>
        <v>5.5</v>
      </c>
      <c r="K919" s="36" t="n">
        <f aca="false">H919-J919</f>
        <v>4.4</v>
      </c>
    </row>
    <row r="920" customFormat="false" ht="15" hidden="false" customHeight="false" outlineLevel="0" collapsed="false">
      <c r="A920" s="41" t="n">
        <v>46261</v>
      </c>
      <c r="B920" s="42" t="n">
        <f aca="false">DATE(YEAR(A920),MONTH(A920),1)</f>
        <v>46235</v>
      </c>
      <c r="C920" s="3" t="s">
        <v>49</v>
      </c>
      <c r="D920" s="3" t="s">
        <v>50</v>
      </c>
      <c r="E920" s="3" t="s">
        <v>28</v>
      </c>
      <c r="F920" s="3" t="n">
        <v>14</v>
      </c>
      <c r="G920" s="36" t="n">
        <v>1.2</v>
      </c>
      <c r="H920" s="36" t="n">
        <f aca="false">F920*G920</f>
        <v>16.8</v>
      </c>
      <c r="I920" s="36" t="n">
        <f aca="false">INDEX(Inventory!$D$2:$D$17,MATCH(C920,Inventory!$A$2:$A$17,0))</f>
        <v>0.7</v>
      </c>
      <c r="J920" s="36" t="n">
        <f aca="false">F920*I920</f>
        <v>9.8</v>
      </c>
      <c r="K920" s="36" t="n">
        <f aca="false">H920-J920</f>
        <v>7</v>
      </c>
    </row>
    <row r="921" customFormat="false" ht="15" hidden="false" customHeight="false" outlineLevel="0" collapsed="false">
      <c r="A921" s="41" t="n">
        <v>46261</v>
      </c>
      <c r="B921" s="42" t="n">
        <f aca="false">DATE(YEAR(A921),MONTH(A921),1)</f>
        <v>46235</v>
      </c>
      <c r="C921" s="3" t="s">
        <v>51</v>
      </c>
      <c r="D921" s="3" t="s">
        <v>52</v>
      </c>
      <c r="E921" s="3" t="s">
        <v>28</v>
      </c>
      <c r="F921" s="3" t="n">
        <v>15</v>
      </c>
      <c r="G921" s="36" t="n">
        <v>0.85</v>
      </c>
      <c r="H921" s="36" t="n">
        <f aca="false">F921*G921</f>
        <v>12.75</v>
      </c>
      <c r="I921" s="36" t="n">
        <f aca="false">INDEX(Inventory!$D$2:$D$17,MATCH(C921,Inventory!$A$2:$A$17,0))</f>
        <v>0.45</v>
      </c>
      <c r="J921" s="36" t="n">
        <f aca="false">F921*I921</f>
        <v>6.75</v>
      </c>
      <c r="K921" s="36" t="n">
        <f aca="false">H921-J921</f>
        <v>6</v>
      </c>
    </row>
    <row r="922" customFormat="false" ht="15" hidden="false" customHeight="false" outlineLevel="0" collapsed="false">
      <c r="A922" s="41" t="n">
        <v>46261</v>
      </c>
      <c r="B922" s="42" t="n">
        <f aca="false">DATE(YEAR(A922),MONTH(A922),1)</f>
        <v>46235</v>
      </c>
      <c r="C922" s="3" t="s">
        <v>37</v>
      </c>
      <c r="D922" s="3" t="s">
        <v>38</v>
      </c>
      <c r="E922" s="3" t="s">
        <v>26</v>
      </c>
      <c r="F922" s="3" t="n">
        <v>19</v>
      </c>
      <c r="G922" s="36" t="n">
        <v>1.2</v>
      </c>
      <c r="H922" s="36" t="n">
        <f aca="false">F922*G922</f>
        <v>22.8</v>
      </c>
      <c r="I922" s="36" t="n">
        <f aca="false">INDEX(Inventory!$D$2:$D$17,MATCH(C922,Inventory!$A$2:$A$17,0))</f>
        <v>0.85</v>
      </c>
      <c r="J922" s="36" t="n">
        <f aca="false">F922*I922</f>
        <v>16.15</v>
      </c>
      <c r="K922" s="36" t="n">
        <f aca="false">H922-J922</f>
        <v>6.65</v>
      </c>
    </row>
    <row r="923" customFormat="false" ht="15" hidden="false" customHeight="false" outlineLevel="0" collapsed="false">
      <c r="A923" s="41" t="n">
        <v>46261</v>
      </c>
      <c r="B923" s="42" t="n">
        <f aca="false">DATE(YEAR(A923),MONTH(A923),1)</f>
        <v>46235</v>
      </c>
      <c r="C923" s="3" t="s">
        <v>47</v>
      </c>
      <c r="D923" s="3" t="s">
        <v>48</v>
      </c>
      <c r="E923" s="3" t="s">
        <v>26</v>
      </c>
      <c r="F923" s="3" t="n">
        <v>6</v>
      </c>
      <c r="G923" s="36" t="n">
        <v>2.2</v>
      </c>
      <c r="H923" s="36" t="n">
        <f aca="false">F923*G923</f>
        <v>13.2</v>
      </c>
      <c r="I923" s="36" t="n">
        <f aca="false">INDEX(Inventory!$D$2:$D$17,MATCH(C923,Inventory!$A$2:$A$17,0))</f>
        <v>1.4</v>
      </c>
      <c r="J923" s="36" t="n">
        <f aca="false">F923*I923</f>
        <v>8.4</v>
      </c>
      <c r="K923" s="36" t="n">
        <f aca="false">H923-J923</f>
        <v>4.8</v>
      </c>
    </row>
    <row r="924" customFormat="false" ht="15" hidden="false" customHeight="false" outlineLevel="0" collapsed="false">
      <c r="A924" s="41" t="n">
        <v>46261</v>
      </c>
      <c r="B924" s="42" t="n">
        <f aca="false">DATE(YEAR(A924),MONTH(A924),1)</f>
        <v>46235</v>
      </c>
      <c r="C924" s="3" t="s">
        <v>43</v>
      </c>
      <c r="D924" s="3" t="s">
        <v>44</v>
      </c>
      <c r="E924" s="3" t="s">
        <v>26</v>
      </c>
      <c r="F924" s="3" t="n">
        <v>5</v>
      </c>
      <c r="G924" s="36" t="n">
        <v>3.8</v>
      </c>
      <c r="H924" s="36" t="n">
        <f aca="false">F924*G924</f>
        <v>19</v>
      </c>
      <c r="I924" s="36" t="n">
        <f aca="false">INDEX(Inventory!$D$2:$D$17,MATCH(C924,Inventory!$A$2:$A$17,0))</f>
        <v>2.6</v>
      </c>
      <c r="J924" s="36" t="n">
        <f aca="false">F924*I924</f>
        <v>13</v>
      </c>
      <c r="K924" s="36" t="n">
        <f aca="false">H924-J924</f>
        <v>6</v>
      </c>
    </row>
    <row r="925" customFormat="false" ht="15" hidden="false" customHeight="false" outlineLevel="0" collapsed="false">
      <c r="A925" s="41" t="n">
        <v>46261</v>
      </c>
      <c r="B925" s="42" t="n">
        <f aca="false">DATE(YEAR(A925),MONTH(A925),1)</f>
        <v>46235</v>
      </c>
      <c r="C925" s="3" t="s">
        <v>67</v>
      </c>
      <c r="D925" s="3" t="s">
        <v>68</v>
      </c>
      <c r="E925" s="3" t="s">
        <v>26</v>
      </c>
      <c r="F925" s="3" t="n">
        <v>4</v>
      </c>
      <c r="G925" s="36" t="n">
        <v>1.9</v>
      </c>
      <c r="H925" s="36" t="n">
        <f aca="false">F925*G925</f>
        <v>7.6</v>
      </c>
      <c r="I925" s="36" t="n">
        <f aca="false">INDEX(Inventory!$D$2:$D$17,MATCH(C925,Inventory!$A$2:$A$17,0))</f>
        <v>1.3</v>
      </c>
      <c r="J925" s="36" t="n">
        <f aca="false">F925*I925</f>
        <v>5.2</v>
      </c>
      <c r="K925" s="36" t="n">
        <f aca="false">H925-J925</f>
        <v>2.4</v>
      </c>
    </row>
    <row r="926" customFormat="false" ht="15" hidden="false" customHeight="false" outlineLevel="0" collapsed="false">
      <c r="A926" s="41" t="n">
        <v>46261</v>
      </c>
      <c r="B926" s="42" t="n">
        <f aca="false">DATE(YEAR(A926),MONTH(A926),1)</f>
        <v>46235</v>
      </c>
      <c r="C926" s="3" t="s">
        <v>61</v>
      </c>
      <c r="D926" s="3" t="s">
        <v>62</v>
      </c>
      <c r="E926" s="3" t="s">
        <v>29</v>
      </c>
      <c r="F926" s="3" t="n">
        <v>8</v>
      </c>
      <c r="G926" s="36" t="n">
        <v>1.9</v>
      </c>
      <c r="H926" s="36" t="n">
        <f aca="false">F926*G926</f>
        <v>15.2</v>
      </c>
      <c r="I926" s="36" t="n">
        <f aca="false">INDEX(Inventory!$D$2:$D$17,MATCH(C926,Inventory!$A$2:$A$17,0))</f>
        <v>1.1</v>
      </c>
      <c r="J926" s="36" t="n">
        <f aca="false">F926*I926</f>
        <v>8.8</v>
      </c>
      <c r="K926" s="36" t="n">
        <f aca="false">H926-J926</f>
        <v>6.4</v>
      </c>
    </row>
    <row r="927" customFormat="false" ht="15" hidden="false" customHeight="false" outlineLevel="0" collapsed="false">
      <c r="A927" s="41" t="n">
        <v>46261</v>
      </c>
      <c r="B927" s="42" t="n">
        <f aca="false">DATE(YEAR(A927),MONTH(A927),1)</f>
        <v>46235</v>
      </c>
      <c r="C927" s="3" t="s">
        <v>45</v>
      </c>
      <c r="D927" s="3" t="s">
        <v>46</v>
      </c>
      <c r="E927" s="3" t="s">
        <v>29</v>
      </c>
      <c r="F927" s="3" t="n">
        <v>4</v>
      </c>
      <c r="G927" s="36" t="n">
        <v>5.2</v>
      </c>
      <c r="H927" s="36" t="n">
        <f aca="false">F927*G927</f>
        <v>20.8</v>
      </c>
      <c r="I927" s="36" t="n">
        <f aca="false">INDEX(Inventory!$D$2:$D$17,MATCH(C927,Inventory!$A$2:$A$17,0))</f>
        <v>3.5</v>
      </c>
      <c r="J927" s="36" t="n">
        <f aca="false">F927*I927</f>
        <v>14</v>
      </c>
      <c r="K927" s="36" t="n">
        <f aca="false">H927-J927</f>
        <v>6.8</v>
      </c>
    </row>
    <row r="928" customFormat="false" ht="15" hidden="false" customHeight="false" outlineLevel="0" collapsed="false">
      <c r="A928" s="41" t="n">
        <v>46261</v>
      </c>
      <c r="B928" s="42" t="n">
        <f aca="false">DATE(YEAR(A928),MONTH(A928),1)</f>
        <v>46235</v>
      </c>
      <c r="C928" s="3" t="s">
        <v>65</v>
      </c>
      <c r="D928" s="3" t="s">
        <v>66</v>
      </c>
      <c r="E928" s="3" t="s">
        <v>29</v>
      </c>
      <c r="F928" s="3" t="n">
        <v>6</v>
      </c>
      <c r="G928" s="36" t="n">
        <v>1.5</v>
      </c>
      <c r="H928" s="36" t="n">
        <f aca="false">F928*G928</f>
        <v>9</v>
      </c>
      <c r="I928" s="36" t="n">
        <f aca="false">INDEX(Inventory!$D$2:$D$17,MATCH(C928,Inventory!$A$2:$A$17,0))</f>
        <v>0.9</v>
      </c>
      <c r="J928" s="36" t="n">
        <f aca="false">F928*I928</f>
        <v>5.4</v>
      </c>
      <c r="K928" s="36" t="n">
        <f aca="false">H928-J928</f>
        <v>3.6</v>
      </c>
    </row>
    <row r="929" customFormat="false" ht="15" hidden="false" customHeight="false" outlineLevel="0" collapsed="false">
      <c r="A929" s="41" t="n">
        <v>46261</v>
      </c>
      <c r="B929" s="42" t="n">
        <f aca="false">DATE(YEAR(A929),MONTH(A929),1)</f>
        <v>46235</v>
      </c>
      <c r="C929" s="3" t="s">
        <v>55</v>
      </c>
      <c r="D929" s="3" t="s">
        <v>56</v>
      </c>
      <c r="E929" s="3" t="s">
        <v>29</v>
      </c>
      <c r="F929" s="3" t="n">
        <v>8</v>
      </c>
      <c r="G929" s="36" t="n">
        <v>2.5</v>
      </c>
      <c r="H929" s="36" t="n">
        <f aca="false">F929*G929</f>
        <v>20</v>
      </c>
      <c r="I929" s="36" t="n">
        <f aca="false">INDEX(Inventory!$D$2:$D$17,MATCH(C929,Inventory!$A$2:$A$17,0))</f>
        <v>1.6</v>
      </c>
      <c r="J929" s="36" t="n">
        <f aca="false">F929*I929</f>
        <v>12.8</v>
      </c>
      <c r="K929" s="36" t="n">
        <f aca="false">H929-J929</f>
        <v>7.2</v>
      </c>
    </row>
    <row r="930" customFormat="false" ht="15" hidden="false" customHeight="false" outlineLevel="0" collapsed="false">
      <c r="A930" s="41" t="n">
        <v>46262</v>
      </c>
      <c r="B930" s="42" t="n">
        <f aca="false">DATE(YEAR(A930),MONTH(A930),1)</f>
        <v>46235</v>
      </c>
      <c r="C930" s="3" t="s">
        <v>39</v>
      </c>
      <c r="D930" s="3" t="s">
        <v>40</v>
      </c>
      <c r="E930" s="3" t="s">
        <v>27</v>
      </c>
      <c r="F930" s="3" t="n">
        <v>31</v>
      </c>
      <c r="G930" s="36" t="n">
        <v>1</v>
      </c>
      <c r="H930" s="36" t="n">
        <f aca="false">F930*G930</f>
        <v>31</v>
      </c>
      <c r="I930" s="36" t="n">
        <f aca="false">INDEX(Inventory!$D$2:$D$17,MATCH(C930,Inventory!$A$2:$A$17,0))</f>
        <v>0.6</v>
      </c>
      <c r="J930" s="36" t="n">
        <f aca="false">F930*I930</f>
        <v>18.6</v>
      </c>
      <c r="K930" s="36" t="n">
        <f aca="false">H930-J930</f>
        <v>12.4</v>
      </c>
    </row>
    <row r="931" customFormat="false" ht="15" hidden="false" customHeight="false" outlineLevel="0" collapsed="false">
      <c r="A931" s="41" t="n">
        <v>46262</v>
      </c>
      <c r="B931" s="42" t="n">
        <f aca="false">DATE(YEAR(A931),MONTH(A931),1)</f>
        <v>46235</v>
      </c>
      <c r="C931" s="3" t="s">
        <v>53</v>
      </c>
      <c r="D931" s="3" t="s">
        <v>54</v>
      </c>
      <c r="E931" s="3" t="s">
        <v>27</v>
      </c>
      <c r="F931" s="3" t="n">
        <v>20</v>
      </c>
      <c r="G931" s="36" t="n">
        <v>0.95</v>
      </c>
      <c r="H931" s="36" t="n">
        <f aca="false">F931*G931</f>
        <v>19</v>
      </c>
      <c r="I931" s="36" t="n">
        <f aca="false">INDEX(Inventory!$D$2:$D$17,MATCH(C931,Inventory!$A$2:$A$17,0))</f>
        <v>0.55</v>
      </c>
      <c r="J931" s="36" t="n">
        <f aca="false">F931*I931</f>
        <v>11</v>
      </c>
      <c r="K931" s="36" t="n">
        <f aca="false">H931-J931</f>
        <v>8</v>
      </c>
    </row>
    <row r="932" customFormat="false" ht="15" hidden="false" customHeight="false" outlineLevel="0" collapsed="false">
      <c r="A932" s="41" t="n">
        <v>46262</v>
      </c>
      <c r="B932" s="42" t="n">
        <f aca="false">DATE(YEAR(A932),MONTH(A932),1)</f>
        <v>46235</v>
      </c>
      <c r="C932" s="3" t="s">
        <v>59</v>
      </c>
      <c r="D932" s="3" t="s">
        <v>60</v>
      </c>
      <c r="E932" s="3" t="s">
        <v>27</v>
      </c>
      <c r="F932" s="3" t="n">
        <v>32</v>
      </c>
      <c r="G932" s="36" t="n">
        <v>0.6</v>
      </c>
      <c r="H932" s="36" t="n">
        <f aca="false">F932*G932</f>
        <v>19.2</v>
      </c>
      <c r="I932" s="36" t="n">
        <f aca="false">INDEX(Inventory!$D$2:$D$17,MATCH(C932,Inventory!$A$2:$A$17,0))</f>
        <v>0.3</v>
      </c>
      <c r="J932" s="36" t="n">
        <f aca="false">F932*I932</f>
        <v>9.6</v>
      </c>
      <c r="K932" s="36" t="n">
        <f aca="false">H932-J932</f>
        <v>9.6</v>
      </c>
    </row>
    <row r="933" customFormat="false" ht="15" hidden="false" customHeight="false" outlineLevel="0" collapsed="false">
      <c r="A933" s="41" t="n">
        <v>46262</v>
      </c>
      <c r="B933" s="42" t="n">
        <f aca="false">DATE(YEAR(A933),MONTH(A933),1)</f>
        <v>46235</v>
      </c>
      <c r="C933" s="3" t="s">
        <v>57</v>
      </c>
      <c r="D933" s="3" t="s">
        <v>58</v>
      </c>
      <c r="E933" s="3" t="s">
        <v>27</v>
      </c>
      <c r="F933" s="3" t="n">
        <v>19</v>
      </c>
      <c r="G933" s="36" t="n">
        <v>1.5</v>
      </c>
      <c r="H933" s="36" t="n">
        <f aca="false">F933*G933</f>
        <v>28.5</v>
      </c>
      <c r="I933" s="36" t="n">
        <f aca="false">INDEX(Inventory!$D$2:$D$17,MATCH(C933,Inventory!$A$2:$A$17,0))</f>
        <v>0.9</v>
      </c>
      <c r="J933" s="36" t="n">
        <f aca="false">F933*I933</f>
        <v>17.1</v>
      </c>
      <c r="K933" s="36" t="n">
        <f aca="false">H933-J933</f>
        <v>11.4</v>
      </c>
    </row>
    <row r="934" customFormat="false" ht="15" hidden="false" customHeight="false" outlineLevel="0" collapsed="false">
      <c r="A934" s="41" t="n">
        <v>46262</v>
      </c>
      <c r="B934" s="42" t="n">
        <f aca="false">DATE(YEAR(A934),MONTH(A934),1)</f>
        <v>46235</v>
      </c>
      <c r="C934" s="3" t="s">
        <v>41</v>
      </c>
      <c r="D934" s="3" t="s">
        <v>42</v>
      </c>
      <c r="E934" s="3" t="s">
        <v>28</v>
      </c>
      <c r="F934" s="3" t="n">
        <v>25</v>
      </c>
      <c r="G934" s="36" t="n">
        <v>1.3</v>
      </c>
      <c r="H934" s="36" t="n">
        <f aca="false">F934*G934</f>
        <v>32.5</v>
      </c>
      <c r="I934" s="36" t="n">
        <f aca="false">INDEX(Inventory!$D$2:$D$17,MATCH(C934,Inventory!$A$2:$A$17,0))</f>
        <v>0.8</v>
      </c>
      <c r="J934" s="36" t="n">
        <f aca="false">F934*I934</f>
        <v>20</v>
      </c>
      <c r="K934" s="36" t="n">
        <f aca="false">H934-J934</f>
        <v>12.5</v>
      </c>
    </row>
    <row r="935" customFormat="false" ht="15" hidden="false" customHeight="false" outlineLevel="0" collapsed="false">
      <c r="A935" s="41" t="n">
        <v>46262</v>
      </c>
      <c r="B935" s="42" t="n">
        <f aca="false">DATE(YEAR(A935),MONTH(A935),1)</f>
        <v>46235</v>
      </c>
      <c r="C935" s="3" t="s">
        <v>63</v>
      </c>
      <c r="D935" s="3" t="s">
        <v>64</v>
      </c>
      <c r="E935" s="3" t="s">
        <v>28</v>
      </c>
      <c r="F935" s="3" t="n">
        <v>18</v>
      </c>
      <c r="G935" s="36" t="n">
        <v>0.9</v>
      </c>
      <c r="H935" s="36" t="n">
        <f aca="false">F935*G935</f>
        <v>16.2</v>
      </c>
      <c r="I935" s="36" t="n">
        <f aca="false">INDEX(Inventory!$D$2:$D$17,MATCH(C935,Inventory!$A$2:$A$17,0))</f>
        <v>0.5</v>
      </c>
      <c r="J935" s="36" t="n">
        <f aca="false">F935*I935</f>
        <v>9</v>
      </c>
      <c r="K935" s="36" t="n">
        <f aca="false">H935-J935</f>
        <v>7.2</v>
      </c>
    </row>
    <row r="936" customFormat="false" ht="15" hidden="false" customHeight="false" outlineLevel="0" collapsed="false">
      <c r="A936" s="41" t="n">
        <v>46262</v>
      </c>
      <c r="B936" s="42" t="n">
        <f aca="false">DATE(YEAR(A936),MONTH(A936),1)</f>
        <v>46235</v>
      </c>
      <c r="C936" s="3" t="s">
        <v>49</v>
      </c>
      <c r="D936" s="3" t="s">
        <v>50</v>
      </c>
      <c r="E936" s="3" t="s">
        <v>28</v>
      </c>
      <c r="F936" s="3" t="n">
        <v>9</v>
      </c>
      <c r="G936" s="36" t="n">
        <v>1.2</v>
      </c>
      <c r="H936" s="36" t="n">
        <f aca="false">F936*G936</f>
        <v>10.8</v>
      </c>
      <c r="I936" s="36" t="n">
        <f aca="false">INDEX(Inventory!$D$2:$D$17,MATCH(C936,Inventory!$A$2:$A$17,0))</f>
        <v>0.7</v>
      </c>
      <c r="J936" s="36" t="n">
        <f aca="false">F936*I936</f>
        <v>6.3</v>
      </c>
      <c r="K936" s="36" t="n">
        <f aca="false">H936-J936</f>
        <v>4.5</v>
      </c>
    </row>
    <row r="937" customFormat="false" ht="15" hidden="false" customHeight="false" outlineLevel="0" collapsed="false">
      <c r="A937" s="41" t="n">
        <v>46262</v>
      </c>
      <c r="B937" s="42" t="n">
        <f aca="false">DATE(YEAR(A937),MONTH(A937),1)</f>
        <v>46235</v>
      </c>
      <c r="C937" s="3" t="s">
        <v>51</v>
      </c>
      <c r="D937" s="3" t="s">
        <v>52</v>
      </c>
      <c r="E937" s="3" t="s">
        <v>28</v>
      </c>
      <c r="F937" s="3" t="n">
        <v>23</v>
      </c>
      <c r="G937" s="36" t="n">
        <v>0.85</v>
      </c>
      <c r="H937" s="36" t="n">
        <f aca="false">F937*G937</f>
        <v>19.55</v>
      </c>
      <c r="I937" s="36" t="n">
        <f aca="false">INDEX(Inventory!$D$2:$D$17,MATCH(C937,Inventory!$A$2:$A$17,0))</f>
        <v>0.45</v>
      </c>
      <c r="J937" s="36" t="n">
        <f aca="false">F937*I937</f>
        <v>10.35</v>
      </c>
      <c r="K937" s="36" t="n">
        <f aca="false">H937-J937</f>
        <v>9.2</v>
      </c>
    </row>
    <row r="938" customFormat="false" ht="15" hidden="false" customHeight="false" outlineLevel="0" collapsed="false">
      <c r="A938" s="41" t="n">
        <v>46262</v>
      </c>
      <c r="B938" s="42" t="n">
        <f aca="false">DATE(YEAR(A938),MONTH(A938),1)</f>
        <v>46235</v>
      </c>
      <c r="C938" s="3" t="s">
        <v>37</v>
      </c>
      <c r="D938" s="3" t="s">
        <v>38</v>
      </c>
      <c r="E938" s="3" t="s">
        <v>26</v>
      </c>
      <c r="F938" s="3" t="n">
        <v>16</v>
      </c>
      <c r="G938" s="36" t="n">
        <v>1.2</v>
      </c>
      <c r="H938" s="36" t="n">
        <f aca="false">F938*G938</f>
        <v>19.2</v>
      </c>
      <c r="I938" s="36" t="n">
        <f aca="false">INDEX(Inventory!$D$2:$D$17,MATCH(C938,Inventory!$A$2:$A$17,0))</f>
        <v>0.85</v>
      </c>
      <c r="J938" s="36" t="n">
        <f aca="false">F938*I938</f>
        <v>13.6</v>
      </c>
      <c r="K938" s="36" t="n">
        <f aca="false">H938-J938</f>
        <v>5.6</v>
      </c>
    </row>
    <row r="939" customFormat="false" ht="15" hidden="false" customHeight="false" outlineLevel="0" collapsed="false">
      <c r="A939" s="41" t="n">
        <v>46262</v>
      </c>
      <c r="B939" s="42" t="n">
        <f aca="false">DATE(YEAR(A939),MONTH(A939),1)</f>
        <v>46235</v>
      </c>
      <c r="C939" s="3" t="s">
        <v>47</v>
      </c>
      <c r="D939" s="3" t="s">
        <v>48</v>
      </c>
      <c r="E939" s="3" t="s">
        <v>26</v>
      </c>
      <c r="F939" s="3" t="n">
        <v>11</v>
      </c>
      <c r="G939" s="36" t="n">
        <v>2.2</v>
      </c>
      <c r="H939" s="36" t="n">
        <f aca="false">F939*G939</f>
        <v>24.2</v>
      </c>
      <c r="I939" s="36" t="n">
        <f aca="false">INDEX(Inventory!$D$2:$D$17,MATCH(C939,Inventory!$A$2:$A$17,0))</f>
        <v>1.4</v>
      </c>
      <c r="J939" s="36" t="n">
        <f aca="false">F939*I939</f>
        <v>15.4</v>
      </c>
      <c r="K939" s="36" t="n">
        <f aca="false">H939-J939</f>
        <v>8.8</v>
      </c>
    </row>
    <row r="940" customFormat="false" ht="15" hidden="false" customHeight="false" outlineLevel="0" collapsed="false">
      <c r="A940" s="41" t="n">
        <v>46262</v>
      </c>
      <c r="B940" s="42" t="n">
        <f aca="false">DATE(YEAR(A940),MONTH(A940),1)</f>
        <v>46235</v>
      </c>
      <c r="C940" s="3" t="s">
        <v>43</v>
      </c>
      <c r="D940" s="3" t="s">
        <v>44</v>
      </c>
      <c r="E940" s="3" t="s">
        <v>26</v>
      </c>
      <c r="F940" s="3" t="n">
        <v>9</v>
      </c>
      <c r="G940" s="36" t="n">
        <v>3.8</v>
      </c>
      <c r="H940" s="36" t="n">
        <f aca="false">F940*G940</f>
        <v>34.2</v>
      </c>
      <c r="I940" s="36" t="n">
        <f aca="false">INDEX(Inventory!$D$2:$D$17,MATCH(C940,Inventory!$A$2:$A$17,0))</f>
        <v>2.6</v>
      </c>
      <c r="J940" s="36" t="n">
        <f aca="false">F940*I940</f>
        <v>23.4</v>
      </c>
      <c r="K940" s="36" t="n">
        <f aca="false">H940-J940</f>
        <v>10.8</v>
      </c>
    </row>
    <row r="941" customFormat="false" ht="15" hidden="false" customHeight="false" outlineLevel="0" collapsed="false">
      <c r="A941" s="41" t="n">
        <v>46262</v>
      </c>
      <c r="B941" s="42" t="n">
        <f aca="false">DATE(YEAR(A941),MONTH(A941),1)</f>
        <v>46235</v>
      </c>
      <c r="C941" s="3" t="s">
        <v>67</v>
      </c>
      <c r="D941" s="3" t="s">
        <v>68</v>
      </c>
      <c r="E941" s="3" t="s">
        <v>26</v>
      </c>
      <c r="F941" s="3" t="n">
        <v>6</v>
      </c>
      <c r="G941" s="36" t="n">
        <v>1.9</v>
      </c>
      <c r="H941" s="36" t="n">
        <f aca="false">F941*G941</f>
        <v>11.4</v>
      </c>
      <c r="I941" s="36" t="n">
        <f aca="false">INDEX(Inventory!$D$2:$D$17,MATCH(C941,Inventory!$A$2:$A$17,0))</f>
        <v>1.3</v>
      </c>
      <c r="J941" s="36" t="n">
        <f aca="false">F941*I941</f>
        <v>7.8</v>
      </c>
      <c r="K941" s="36" t="n">
        <f aca="false">H941-J941</f>
        <v>3.6</v>
      </c>
    </row>
    <row r="942" customFormat="false" ht="15" hidden="false" customHeight="false" outlineLevel="0" collapsed="false">
      <c r="A942" s="41" t="n">
        <v>46262</v>
      </c>
      <c r="B942" s="42" t="n">
        <f aca="false">DATE(YEAR(A942),MONTH(A942),1)</f>
        <v>46235</v>
      </c>
      <c r="C942" s="3" t="s">
        <v>61</v>
      </c>
      <c r="D942" s="3" t="s">
        <v>62</v>
      </c>
      <c r="E942" s="3" t="s">
        <v>29</v>
      </c>
      <c r="F942" s="3" t="n">
        <v>12</v>
      </c>
      <c r="G942" s="36" t="n">
        <v>1.9</v>
      </c>
      <c r="H942" s="36" t="n">
        <f aca="false">F942*G942</f>
        <v>22.8</v>
      </c>
      <c r="I942" s="36" t="n">
        <f aca="false">INDEX(Inventory!$D$2:$D$17,MATCH(C942,Inventory!$A$2:$A$17,0))</f>
        <v>1.1</v>
      </c>
      <c r="J942" s="36" t="n">
        <f aca="false">F942*I942</f>
        <v>13.2</v>
      </c>
      <c r="K942" s="36" t="n">
        <f aca="false">H942-J942</f>
        <v>9.6</v>
      </c>
    </row>
    <row r="943" customFormat="false" ht="15" hidden="false" customHeight="false" outlineLevel="0" collapsed="false">
      <c r="A943" s="41" t="n">
        <v>46262</v>
      </c>
      <c r="B943" s="42" t="n">
        <f aca="false">DATE(YEAR(A943),MONTH(A943),1)</f>
        <v>46235</v>
      </c>
      <c r="C943" s="3" t="s">
        <v>45</v>
      </c>
      <c r="D943" s="3" t="s">
        <v>46</v>
      </c>
      <c r="E943" s="3" t="s">
        <v>29</v>
      </c>
      <c r="F943" s="3" t="n">
        <v>5</v>
      </c>
      <c r="G943" s="36" t="n">
        <v>5.2</v>
      </c>
      <c r="H943" s="36" t="n">
        <f aca="false">F943*G943</f>
        <v>26</v>
      </c>
      <c r="I943" s="36" t="n">
        <f aca="false">INDEX(Inventory!$D$2:$D$17,MATCH(C943,Inventory!$A$2:$A$17,0))</f>
        <v>3.5</v>
      </c>
      <c r="J943" s="36" t="n">
        <f aca="false">F943*I943</f>
        <v>17.5</v>
      </c>
      <c r="K943" s="36" t="n">
        <f aca="false">H943-J943</f>
        <v>8.5</v>
      </c>
    </row>
    <row r="944" customFormat="false" ht="15" hidden="false" customHeight="false" outlineLevel="0" collapsed="false">
      <c r="A944" s="41" t="n">
        <v>46262</v>
      </c>
      <c r="B944" s="42" t="n">
        <f aca="false">DATE(YEAR(A944),MONTH(A944),1)</f>
        <v>46235</v>
      </c>
      <c r="C944" s="3" t="s">
        <v>65</v>
      </c>
      <c r="D944" s="3" t="s">
        <v>66</v>
      </c>
      <c r="E944" s="3" t="s">
        <v>29</v>
      </c>
      <c r="F944" s="3" t="n">
        <v>11</v>
      </c>
      <c r="G944" s="36" t="n">
        <v>1.5</v>
      </c>
      <c r="H944" s="36" t="n">
        <f aca="false">F944*G944</f>
        <v>16.5</v>
      </c>
      <c r="I944" s="36" t="n">
        <f aca="false">INDEX(Inventory!$D$2:$D$17,MATCH(C944,Inventory!$A$2:$A$17,0))</f>
        <v>0.9</v>
      </c>
      <c r="J944" s="36" t="n">
        <f aca="false">F944*I944</f>
        <v>9.9</v>
      </c>
      <c r="K944" s="36" t="n">
        <f aca="false">H944-J944</f>
        <v>6.6</v>
      </c>
    </row>
    <row r="945" customFormat="false" ht="15" hidden="false" customHeight="false" outlineLevel="0" collapsed="false">
      <c r="A945" s="41" t="n">
        <v>46262</v>
      </c>
      <c r="B945" s="42" t="n">
        <f aca="false">DATE(YEAR(A945),MONTH(A945),1)</f>
        <v>46235</v>
      </c>
      <c r="C945" s="3" t="s">
        <v>55</v>
      </c>
      <c r="D945" s="3" t="s">
        <v>56</v>
      </c>
      <c r="E945" s="3" t="s">
        <v>29</v>
      </c>
      <c r="F945" s="3" t="n">
        <v>6</v>
      </c>
      <c r="G945" s="36" t="n">
        <v>2.5</v>
      </c>
      <c r="H945" s="36" t="n">
        <f aca="false">F945*G945</f>
        <v>15</v>
      </c>
      <c r="I945" s="36" t="n">
        <f aca="false">INDEX(Inventory!$D$2:$D$17,MATCH(C945,Inventory!$A$2:$A$17,0))</f>
        <v>1.6</v>
      </c>
      <c r="J945" s="36" t="n">
        <f aca="false">F945*I945</f>
        <v>9.6</v>
      </c>
      <c r="K945" s="36" t="n">
        <f aca="false">H945-J945</f>
        <v>5.4</v>
      </c>
    </row>
    <row r="946" customFormat="false" ht="15" hidden="false" customHeight="false" outlineLevel="0" collapsed="false">
      <c r="A946" s="41" t="n">
        <v>46263</v>
      </c>
      <c r="B946" s="42" t="n">
        <f aca="false">DATE(YEAR(A946),MONTH(A946),1)</f>
        <v>46235</v>
      </c>
      <c r="C946" s="3" t="s">
        <v>39</v>
      </c>
      <c r="D946" s="3" t="s">
        <v>40</v>
      </c>
      <c r="E946" s="3" t="s">
        <v>27</v>
      </c>
      <c r="F946" s="3" t="n">
        <v>35</v>
      </c>
      <c r="G946" s="36" t="n">
        <v>1</v>
      </c>
      <c r="H946" s="36" t="n">
        <f aca="false">F946*G946</f>
        <v>35</v>
      </c>
      <c r="I946" s="36" t="n">
        <f aca="false">INDEX(Inventory!$D$2:$D$17,MATCH(C946,Inventory!$A$2:$A$17,0))</f>
        <v>0.6</v>
      </c>
      <c r="J946" s="36" t="n">
        <f aca="false">F946*I946</f>
        <v>21</v>
      </c>
      <c r="K946" s="36" t="n">
        <f aca="false">H946-J946</f>
        <v>14</v>
      </c>
    </row>
    <row r="947" customFormat="false" ht="15" hidden="false" customHeight="false" outlineLevel="0" collapsed="false">
      <c r="A947" s="41" t="n">
        <v>46263</v>
      </c>
      <c r="B947" s="42" t="n">
        <f aca="false">DATE(YEAR(A947),MONTH(A947),1)</f>
        <v>46235</v>
      </c>
      <c r="C947" s="3" t="s">
        <v>53</v>
      </c>
      <c r="D947" s="3" t="s">
        <v>54</v>
      </c>
      <c r="E947" s="3" t="s">
        <v>27</v>
      </c>
      <c r="F947" s="3" t="n">
        <v>27</v>
      </c>
      <c r="G947" s="36" t="n">
        <v>0.95</v>
      </c>
      <c r="H947" s="36" t="n">
        <f aca="false">F947*G947</f>
        <v>25.65</v>
      </c>
      <c r="I947" s="36" t="n">
        <f aca="false">INDEX(Inventory!$D$2:$D$17,MATCH(C947,Inventory!$A$2:$A$17,0))</f>
        <v>0.55</v>
      </c>
      <c r="J947" s="36" t="n">
        <f aca="false">F947*I947</f>
        <v>14.85</v>
      </c>
      <c r="K947" s="36" t="n">
        <f aca="false">H947-J947</f>
        <v>10.8</v>
      </c>
    </row>
    <row r="948" customFormat="false" ht="15" hidden="false" customHeight="false" outlineLevel="0" collapsed="false">
      <c r="A948" s="41" t="n">
        <v>46263</v>
      </c>
      <c r="B948" s="42" t="n">
        <f aca="false">DATE(YEAR(A948),MONTH(A948),1)</f>
        <v>46235</v>
      </c>
      <c r="C948" s="3" t="s">
        <v>59</v>
      </c>
      <c r="D948" s="3" t="s">
        <v>60</v>
      </c>
      <c r="E948" s="3" t="s">
        <v>27</v>
      </c>
      <c r="F948" s="3" t="n">
        <v>46</v>
      </c>
      <c r="G948" s="36" t="n">
        <v>0.6</v>
      </c>
      <c r="H948" s="36" t="n">
        <f aca="false">F948*G948</f>
        <v>27.6</v>
      </c>
      <c r="I948" s="36" t="n">
        <f aca="false">INDEX(Inventory!$D$2:$D$17,MATCH(C948,Inventory!$A$2:$A$17,0))</f>
        <v>0.3</v>
      </c>
      <c r="J948" s="36" t="n">
        <f aca="false">F948*I948</f>
        <v>13.8</v>
      </c>
      <c r="K948" s="36" t="n">
        <f aca="false">H948-J948</f>
        <v>13.8</v>
      </c>
    </row>
    <row r="949" customFormat="false" ht="15" hidden="false" customHeight="false" outlineLevel="0" collapsed="false">
      <c r="A949" s="41" t="n">
        <v>46263</v>
      </c>
      <c r="B949" s="42" t="n">
        <f aca="false">DATE(YEAR(A949),MONTH(A949),1)</f>
        <v>46235</v>
      </c>
      <c r="C949" s="3" t="s">
        <v>57</v>
      </c>
      <c r="D949" s="3" t="s">
        <v>58</v>
      </c>
      <c r="E949" s="3" t="s">
        <v>27</v>
      </c>
      <c r="F949" s="3" t="n">
        <v>16</v>
      </c>
      <c r="G949" s="36" t="n">
        <v>1.5</v>
      </c>
      <c r="H949" s="36" t="n">
        <f aca="false">F949*G949</f>
        <v>24</v>
      </c>
      <c r="I949" s="36" t="n">
        <f aca="false">INDEX(Inventory!$D$2:$D$17,MATCH(C949,Inventory!$A$2:$A$17,0))</f>
        <v>0.9</v>
      </c>
      <c r="J949" s="36" t="n">
        <f aca="false">F949*I949</f>
        <v>14.4</v>
      </c>
      <c r="K949" s="36" t="n">
        <f aca="false">H949-J949</f>
        <v>9.6</v>
      </c>
    </row>
    <row r="950" customFormat="false" ht="15" hidden="false" customHeight="false" outlineLevel="0" collapsed="false">
      <c r="A950" s="41" t="n">
        <v>46263</v>
      </c>
      <c r="B950" s="42" t="n">
        <f aca="false">DATE(YEAR(A950),MONTH(A950),1)</f>
        <v>46235</v>
      </c>
      <c r="C950" s="3" t="s">
        <v>41</v>
      </c>
      <c r="D950" s="3" t="s">
        <v>42</v>
      </c>
      <c r="E950" s="3" t="s">
        <v>28</v>
      </c>
      <c r="F950" s="3" t="n">
        <v>38</v>
      </c>
      <c r="G950" s="36" t="n">
        <v>1.3</v>
      </c>
      <c r="H950" s="36" t="n">
        <f aca="false">F950*G950</f>
        <v>49.4</v>
      </c>
      <c r="I950" s="36" t="n">
        <f aca="false">INDEX(Inventory!$D$2:$D$17,MATCH(C950,Inventory!$A$2:$A$17,0))</f>
        <v>0.8</v>
      </c>
      <c r="J950" s="36" t="n">
        <f aca="false">F950*I950</f>
        <v>30.4</v>
      </c>
      <c r="K950" s="36" t="n">
        <f aca="false">H950-J950</f>
        <v>19</v>
      </c>
    </row>
    <row r="951" customFormat="false" ht="15" hidden="false" customHeight="false" outlineLevel="0" collapsed="false">
      <c r="A951" s="41" t="n">
        <v>46263</v>
      </c>
      <c r="B951" s="42" t="n">
        <f aca="false">DATE(YEAR(A951),MONTH(A951),1)</f>
        <v>46235</v>
      </c>
      <c r="C951" s="3" t="s">
        <v>63</v>
      </c>
      <c r="D951" s="3" t="s">
        <v>64</v>
      </c>
      <c r="E951" s="3" t="s">
        <v>28</v>
      </c>
      <c r="F951" s="3" t="n">
        <v>18</v>
      </c>
      <c r="G951" s="36" t="n">
        <v>0.9</v>
      </c>
      <c r="H951" s="36" t="n">
        <f aca="false">F951*G951</f>
        <v>16.2</v>
      </c>
      <c r="I951" s="36" t="n">
        <f aca="false">INDEX(Inventory!$D$2:$D$17,MATCH(C951,Inventory!$A$2:$A$17,0))</f>
        <v>0.5</v>
      </c>
      <c r="J951" s="36" t="n">
        <f aca="false">F951*I951</f>
        <v>9</v>
      </c>
      <c r="K951" s="36" t="n">
        <f aca="false">H951-J951</f>
        <v>7.2</v>
      </c>
    </row>
    <row r="952" customFormat="false" ht="15" hidden="false" customHeight="false" outlineLevel="0" collapsed="false">
      <c r="A952" s="41" t="n">
        <v>46263</v>
      </c>
      <c r="B952" s="42" t="n">
        <f aca="false">DATE(YEAR(A952),MONTH(A952),1)</f>
        <v>46235</v>
      </c>
      <c r="C952" s="3" t="s">
        <v>49</v>
      </c>
      <c r="D952" s="3" t="s">
        <v>50</v>
      </c>
      <c r="E952" s="3" t="s">
        <v>28</v>
      </c>
      <c r="F952" s="3" t="n">
        <v>21</v>
      </c>
      <c r="G952" s="36" t="n">
        <v>1.2</v>
      </c>
      <c r="H952" s="36" t="n">
        <f aca="false">F952*G952</f>
        <v>25.2</v>
      </c>
      <c r="I952" s="36" t="n">
        <f aca="false">INDEX(Inventory!$D$2:$D$17,MATCH(C952,Inventory!$A$2:$A$17,0))</f>
        <v>0.7</v>
      </c>
      <c r="J952" s="36" t="n">
        <f aca="false">F952*I952</f>
        <v>14.7</v>
      </c>
      <c r="K952" s="36" t="n">
        <f aca="false">H952-J952</f>
        <v>10.5</v>
      </c>
    </row>
    <row r="953" customFormat="false" ht="15" hidden="false" customHeight="false" outlineLevel="0" collapsed="false">
      <c r="A953" s="41" t="n">
        <v>46263</v>
      </c>
      <c r="B953" s="42" t="n">
        <f aca="false">DATE(YEAR(A953),MONTH(A953),1)</f>
        <v>46235</v>
      </c>
      <c r="C953" s="3" t="s">
        <v>51</v>
      </c>
      <c r="D953" s="3" t="s">
        <v>52</v>
      </c>
      <c r="E953" s="3" t="s">
        <v>28</v>
      </c>
      <c r="F953" s="3" t="n">
        <v>16</v>
      </c>
      <c r="G953" s="36" t="n">
        <v>0.85</v>
      </c>
      <c r="H953" s="36" t="n">
        <f aca="false">F953*G953</f>
        <v>13.6</v>
      </c>
      <c r="I953" s="36" t="n">
        <f aca="false">INDEX(Inventory!$D$2:$D$17,MATCH(C953,Inventory!$A$2:$A$17,0))</f>
        <v>0.45</v>
      </c>
      <c r="J953" s="36" t="n">
        <f aca="false">F953*I953</f>
        <v>7.2</v>
      </c>
      <c r="K953" s="36" t="n">
        <f aca="false">H953-J953</f>
        <v>6.4</v>
      </c>
    </row>
    <row r="954" customFormat="false" ht="15" hidden="false" customHeight="false" outlineLevel="0" collapsed="false">
      <c r="A954" s="41" t="n">
        <v>46263</v>
      </c>
      <c r="B954" s="42" t="n">
        <f aca="false">DATE(YEAR(A954),MONTH(A954),1)</f>
        <v>46235</v>
      </c>
      <c r="C954" s="3" t="s">
        <v>37</v>
      </c>
      <c r="D954" s="3" t="s">
        <v>38</v>
      </c>
      <c r="E954" s="3" t="s">
        <v>26</v>
      </c>
      <c r="F954" s="3" t="n">
        <v>44</v>
      </c>
      <c r="G954" s="36" t="n">
        <v>1.2</v>
      </c>
      <c r="H954" s="36" t="n">
        <f aca="false">F954*G954</f>
        <v>52.8</v>
      </c>
      <c r="I954" s="36" t="n">
        <f aca="false">INDEX(Inventory!$D$2:$D$17,MATCH(C954,Inventory!$A$2:$A$17,0))</f>
        <v>0.85</v>
      </c>
      <c r="J954" s="36" t="n">
        <f aca="false">F954*I954</f>
        <v>37.4</v>
      </c>
      <c r="K954" s="36" t="n">
        <f aca="false">H954-J954</f>
        <v>15.4</v>
      </c>
    </row>
    <row r="955" customFormat="false" ht="15" hidden="false" customHeight="false" outlineLevel="0" collapsed="false">
      <c r="A955" s="41" t="n">
        <v>46263</v>
      </c>
      <c r="B955" s="42" t="n">
        <f aca="false">DATE(YEAR(A955),MONTH(A955),1)</f>
        <v>46235</v>
      </c>
      <c r="C955" s="3" t="s">
        <v>47</v>
      </c>
      <c r="D955" s="3" t="s">
        <v>48</v>
      </c>
      <c r="E955" s="3" t="s">
        <v>26</v>
      </c>
      <c r="F955" s="3" t="n">
        <v>13</v>
      </c>
      <c r="G955" s="36" t="n">
        <v>2.2</v>
      </c>
      <c r="H955" s="36" t="n">
        <f aca="false">F955*G955</f>
        <v>28.6</v>
      </c>
      <c r="I955" s="36" t="n">
        <f aca="false">INDEX(Inventory!$D$2:$D$17,MATCH(C955,Inventory!$A$2:$A$17,0))</f>
        <v>1.4</v>
      </c>
      <c r="J955" s="36" t="n">
        <f aca="false">F955*I955</f>
        <v>18.2</v>
      </c>
      <c r="K955" s="36" t="n">
        <f aca="false">H955-J955</f>
        <v>10.4</v>
      </c>
    </row>
    <row r="956" customFormat="false" ht="15" hidden="false" customHeight="false" outlineLevel="0" collapsed="false">
      <c r="A956" s="41" t="n">
        <v>46263</v>
      </c>
      <c r="B956" s="42" t="n">
        <f aca="false">DATE(YEAR(A956),MONTH(A956),1)</f>
        <v>46235</v>
      </c>
      <c r="C956" s="3" t="s">
        <v>43</v>
      </c>
      <c r="D956" s="3" t="s">
        <v>44</v>
      </c>
      <c r="E956" s="3" t="s">
        <v>26</v>
      </c>
      <c r="F956" s="3" t="n">
        <v>8</v>
      </c>
      <c r="G956" s="36" t="n">
        <v>3.8</v>
      </c>
      <c r="H956" s="36" t="n">
        <f aca="false">F956*G956</f>
        <v>30.4</v>
      </c>
      <c r="I956" s="36" t="n">
        <f aca="false">INDEX(Inventory!$D$2:$D$17,MATCH(C956,Inventory!$A$2:$A$17,0))</f>
        <v>2.6</v>
      </c>
      <c r="J956" s="36" t="n">
        <f aca="false">F956*I956</f>
        <v>20.8</v>
      </c>
      <c r="K956" s="36" t="n">
        <f aca="false">H956-J956</f>
        <v>9.6</v>
      </c>
    </row>
    <row r="957" customFormat="false" ht="15" hidden="false" customHeight="false" outlineLevel="0" collapsed="false">
      <c r="A957" s="41" t="n">
        <v>46263</v>
      </c>
      <c r="B957" s="42" t="n">
        <f aca="false">DATE(YEAR(A957),MONTH(A957),1)</f>
        <v>46235</v>
      </c>
      <c r="C957" s="3" t="s">
        <v>67</v>
      </c>
      <c r="D957" s="3" t="s">
        <v>68</v>
      </c>
      <c r="E957" s="3" t="s">
        <v>26</v>
      </c>
      <c r="F957" s="3" t="n">
        <v>10</v>
      </c>
      <c r="G957" s="36" t="n">
        <v>1.9</v>
      </c>
      <c r="H957" s="36" t="n">
        <f aca="false">F957*G957</f>
        <v>19</v>
      </c>
      <c r="I957" s="36" t="n">
        <f aca="false">INDEX(Inventory!$D$2:$D$17,MATCH(C957,Inventory!$A$2:$A$17,0))</f>
        <v>1.3</v>
      </c>
      <c r="J957" s="36" t="n">
        <f aca="false">F957*I957</f>
        <v>13</v>
      </c>
      <c r="K957" s="36" t="n">
        <f aca="false">H957-J957</f>
        <v>6</v>
      </c>
    </row>
    <row r="958" customFormat="false" ht="15" hidden="false" customHeight="false" outlineLevel="0" collapsed="false">
      <c r="A958" s="41" t="n">
        <v>46263</v>
      </c>
      <c r="B958" s="42" t="n">
        <f aca="false">DATE(YEAR(A958),MONTH(A958),1)</f>
        <v>46235</v>
      </c>
      <c r="C958" s="3" t="s">
        <v>61</v>
      </c>
      <c r="D958" s="3" t="s">
        <v>62</v>
      </c>
      <c r="E958" s="3" t="s">
        <v>29</v>
      </c>
      <c r="F958" s="3" t="n">
        <v>15</v>
      </c>
      <c r="G958" s="36" t="n">
        <v>1.9</v>
      </c>
      <c r="H958" s="36" t="n">
        <f aca="false">F958*G958</f>
        <v>28.5</v>
      </c>
      <c r="I958" s="36" t="n">
        <f aca="false">INDEX(Inventory!$D$2:$D$17,MATCH(C958,Inventory!$A$2:$A$17,0))</f>
        <v>1.1</v>
      </c>
      <c r="J958" s="36" t="n">
        <f aca="false">F958*I958</f>
        <v>16.5</v>
      </c>
      <c r="K958" s="36" t="n">
        <f aca="false">H958-J958</f>
        <v>12</v>
      </c>
    </row>
    <row r="959" customFormat="false" ht="15" hidden="false" customHeight="false" outlineLevel="0" collapsed="false">
      <c r="A959" s="41" t="n">
        <v>46263</v>
      </c>
      <c r="B959" s="42" t="n">
        <f aca="false">DATE(YEAR(A959),MONTH(A959),1)</f>
        <v>46235</v>
      </c>
      <c r="C959" s="3" t="s">
        <v>45</v>
      </c>
      <c r="D959" s="3" t="s">
        <v>46</v>
      </c>
      <c r="E959" s="3" t="s">
        <v>29</v>
      </c>
      <c r="F959" s="3" t="n">
        <v>7</v>
      </c>
      <c r="G959" s="36" t="n">
        <v>5.2</v>
      </c>
      <c r="H959" s="36" t="n">
        <f aca="false">F959*G959</f>
        <v>36.4</v>
      </c>
      <c r="I959" s="36" t="n">
        <f aca="false">INDEX(Inventory!$D$2:$D$17,MATCH(C959,Inventory!$A$2:$A$17,0))</f>
        <v>3.5</v>
      </c>
      <c r="J959" s="36" t="n">
        <f aca="false">F959*I959</f>
        <v>24.5</v>
      </c>
      <c r="K959" s="36" t="n">
        <f aca="false">H959-J959</f>
        <v>11.9</v>
      </c>
    </row>
    <row r="960" customFormat="false" ht="15" hidden="false" customHeight="false" outlineLevel="0" collapsed="false">
      <c r="A960" s="41" t="n">
        <v>46263</v>
      </c>
      <c r="B960" s="42" t="n">
        <f aca="false">DATE(YEAR(A960),MONTH(A960),1)</f>
        <v>46235</v>
      </c>
      <c r="C960" s="3" t="s">
        <v>65</v>
      </c>
      <c r="D960" s="3" t="s">
        <v>66</v>
      </c>
      <c r="E960" s="3" t="s">
        <v>29</v>
      </c>
      <c r="F960" s="3" t="n">
        <v>8</v>
      </c>
      <c r="G960" s="36" t="n">
        <v>1.5</v>
      </c>
      <c r="H960" s="36" t="n">
        <f aca="false">F960*G960</f>
        <v>12</v>
      </c>
      <c r="I960" s="36" t="n">
        <f aca="false">INDEX(Inventory!$D$2:$D$17,MATCH(C960,Inventory!$A$2:$A$17,0))</f>
        <v>0.9</v>
      </c>
      <c r="J960" s="36" t="n">
        <f aca="false">F960*I960</f>
        <v>7.2</v>
      </c>
      <c r="K960" s="36" t="n">
        <f aca="false">H960-J960</f>
        <v>4.8</v>
      </c>
    </row>
    <row r="961" customFormat="false" ht="15" hidden="false" customHeight="false" outlineLevel="0" collapsed="false">
      <c r="A961" s="41" t="n">
        <v>46263</v>
      </c>
      <c r="B961" s="42" t="n">
        <f aca="false">DATE(YEAR(A961),MONTH(A961),1)</f>
        <v>46235</v>
      </c>
      <c r="C961" s="3" t="s">
        <v>55</v>
      </c>
      <c r="D961" s="3" t="s">
        <v>56</v>
      </c>
      <c r="E961" s="3" t="s">
        <v>29</v>
      </c>
      <c r="F961" s="3" t="n">
        <v>11</v>
      </c>
      <c r="G961" s="36" t="n">
        <v>2.5</v>
      </c>
      <c r="H961" s="36" t="n">
        <f aca="false">F961*G961</f>
        <v>27.5</v>
      </c>
      <c r="I961" s="36" t="n">
        <f aca="false">INDEX(Inventory!$D$2:$D$17,MATCH(C961,Inventory!$A$2:$A$17,0))</f>
        <v>1.6</v>
      </c>
      <c r="J961" s="36" t="n">
        <f aca="false">F961*I961</f>
        <v>17.6</v>
      </c>
      <c r="K961" s="36" t="n">
        <f aca="false">H961-J961</f>
        <v>9.9</v>
      </c>
    </row>
    <row r="962" customFormat="false" ht="15" hidden="false" customHeight="false" outlineLevel="0" collapsed="false">
      <c r="A962" s="41" t="n">
        <v>46264</v>
      </c>
      <c r="B962" s="42" t="n">
        <f aca="false">DATE(YEAR(A962),MONTH(A962),1)</f>
        <v>46235</v>
      </c>
      <c r="C962" s="3" t="s">
        <v>39</v>
      </c>
      <c r="D962" s="3" t="s">
        <v>40</v>
      </c>
      <c r="E962" s="3" t="s">
        <v>27</v>
      </c>
      <c r="F962" s="3" t="n">
        <v>31</v>
      </c>
      <c r="G962" s="36" t="n">
        <v>1</v>
      </c>
      <c r="H962" s="36" t="n">
        <f aca="false">F962*G962</f>
        <v>31</v>
      </c>
      <c r="I962" s="36" t="n">
        <f aca="false">INDEX(Inventory!$D$2:$D$17,MATCH(C962,Inventory!$A$2:$A$17,0))</f>
        <v>0.6</v>
      </c>
      <c r="J962" s="36" t="n">
        <f aca="false">F962*I962</f>
        <v>18.6</v>
      </c>
      <c r="K962" s="36" t="n">
        <f aca="false">H962-J962</f>
        <v>12.4</v>
      </c>
    </row>
    <row r="963" customFormat="false" ht="15" hidden="false" customHeight="false" outlineLevel="0" collapsed="false">
      <c r="A963" s="41" t="n">
        <v>46264</v>
      </c>
      <c r="B963" s="42" t="n">
        <f aca="false">DATE(YEAR(A963),MONTH(A963),1)</f>
        <v>46235</v>
      </c>
      <c r="C963" s="3" t="s">
        <v>53</v>
      </c>
      <c r="D963" s="3" t="s">
        <v>54</v>
      </c>
      <c r="E963" s="3" t="s">
        <v>27</v>
      </c>
      <c r="F963" s="3" t="n">
        <v>19</v>
      </c>
      <c r="G963" s="36" t="n">
        <v>0.95</v>
      </c>
      <c r="H963" s="36" t="n">
        <f aca="false">F963*G963</f>
        <v>18.05</v>
      </c>
      <c r="I963" s="36" t="n">
        <f aca="false">INDEX(Inventory!$D$2:$D$17,MATCH(C963,Inventory!$A$2:$A$17,0))</f>
        <v>0.55</v>
      </c>
      <c r="J963" s="36" t="n">
        <f aca="false">F963*I963</f>
        <v>10.45</v>
      </c>
      <c r="K963" s="36" t="n">
        <f aca="false">H963-J963</f>
        <v>7.6</v>
      </c>
    </row>
    <row r="964" customFormat="false" ht="15" hidden="false" customHeight="false" outlineLevel="0" collapsed="false">
      <c r="A964" s="41" t="n">
        <v>46264</v>
      </c>
      <c r="B964" s="42" t="n">
        <f aca="false">DATE(YEAR(A964),MONTH(A964),1)</f>
        <v>46235</v>
      </c>
      <c r="C964" s="3" t="s">
        <v>59</v>
      </c>
      <c r="D964" s="3" t="s">
        <v>60</v>
      </c>
      <c r="E964" s="3" t="s">
        <v>27</v>
      </c>
      <c r="F964" s="3" t="n">
        <v>48</v>
      </c>
      <c r="G964" s="36" t="n">
        <v>0.6</v>
      </c>
      <c r="H964" s="36" t="n">
        <f aca="false">F964*G964</f>
        <v>28.8</v>
      </c>
      <c r="I964" s="36" t="n">
        <f aca="false">INDEX(Inventory!$D$2:$D$17,MATCH(C964,Inventory!$A$2:$A$17,0))</f>
        <v>0.3</v>
      </c>
      <c r="J964" s="36" t="n">
        <f aca="false">F964*I964</f>
        <v>14.4</v>
      </c>
      <c r="K964" s="36" t="n">
        <f aca="false">H964-J964</f>
        <v>14.4</v>
      </c>
    </row>
    <row r="965" customFormat="false" ht="15" hidden="false" customHeight="false" outlineLevel="0" collapsed="false">
      <c r="A965" s="41" t="n">
        <v>46264</v>
      </c>
      <c r="B965" s="42" t="n">
        <f aca="false">DATE(YEAR(A965),MONTH(A965),1)</f>
        <v>46235</v>
      </c>
      <c r="C965" s="3" t="s">
        <v>57</v>
      </c>
      <c r="D965" s="3" t="s">
        <v>58</v>
      </c>
      <c r="E965" s="3" t="s">
        <v>27</v>
      </c>
      <c r="F965" s="3" t="n">
        <v>10</v>
      </c>
      <c r="G965" s="36" t="n">
        <v>1.5</v>
      </c>
      <c r="H965" s="36" t="n">
        <f aca="false">F965*G965</f>
        <v>15</v>
      </c>
      <c r="I965" s="36" t="n">
        <f aca="false">INDEX(Inventory!$D$2:$D$17,MATCH(C965,Inventory!$A$2:$A$17,0))</f>
        <v>0.9</v>
      </c>
      <c r="J965" s="36" t="n">
        <f aca="false">F965*I965</f>
        <v>9</v>
      </c>
      <c r="K965" s="36" t="n">
        <f aca="false">H965-J965</f>
        <v>6</v>
      </c>
    </row>
    <row r="966" customFormat="false" ht="15" hidden="false" customHeight="false" outlineLevel="0" collapsed="false">
      <c r="A966" s="41" t="n">
        <v>46264</v>
      </c>
      <c r="B966" s="42" t="n">
        <f aca="false">DATE(YEAR(A966),MONTH(A966),1)</f>
        <v>46235</v>
      </c>
      <c r="C966" s="3" t="s">
        <v>41</v>
      </c>
      <c r="D966" s="3" t="s">
        <v>42</v>
      </c>
      <c r="E966" s="3" t="s">
        <v>28</v>
      </c>
      <c r="F966" s="3" t="n">
        <v>30</v>
      </c>
      <c r="G966" s="36" t="n">
        <v>1.3</v>
      </c>
      <c r="H966" s="36" t="n">
        <f aca="false">F966*G966</f>
        <v>39</v>
      </c>
      <c r="I966" s="36" t="n">
        <f aca="false">INDEX(Inventory!$D$2:$D$17,MATCH(C966,Inventory!$A$2:$A$17,0))</f>
        <v>0.8</v>
      </c>
      <c r="J966" s="36" t="n">
        <f aca="false">F966*I966</f>
        <v>24</v>
      </c>
      <c r="K966" s="36" t="n">
        <f aca="false">H966-J966</f>
        <v>15</v>
      </c>
    </row>
    <row r="967" customFormat="false" ht="15" hidden="false" customHeight="false" outlineLevel="0" collapsed="false">
      <c r="A967" s="41" t="n">
        <v>46264</v>
      </c>
      <c r="B967" s="42" t="n">
        <f aca="false">DATE(YEAR(A967),MONTH(A967),1)</f>
        <v>46235</v>
      </c>
      <c r="C967" s="3" t="s">
        <v>63</v>
      </c>
      <c r="D967" s="3" t="s">
        <v>64</v>
      </c>
      <c r="E967" s="3" t="s">
        <v>28</v>
      </c>
      <c r="F967" s="3" t="n">
        <v>21</v>
      </c>
      <c r="G967" s="36" t="n">
        <v>0.9</v>
      </c>
      <c r="H967" s="36" t="n">
        <f aca="false">F967*G967</f>
        <v>18.9</v>
      </c>
      <c r="I967" s="36" t="n">
        <f aca="false">INDEX(Inventory!$D$2:$D$17,MATCH(C967,Inventory!$A$2:$A$17,0))</f>
        <v>0.5</v>
      </c>
      <c r="J967" s="36" t="n">
        <f aca="false">F967*I967</f>
        <v>10.5</v>
      </c>
      <c r="K967" s="36" t="n">
        <f aca="false">H967-J967</f>
        <v>8.4</v>
      </c>
    </row>
    <row r="968" customFormat="false" ht="15" hidden="false" customHeight="false" outlineLevel="0" collapsed="false">
      <c r="A968" s="41" t="n">
        <v>46264</v>
      </c>
      <c r="B968" s="42" t="n">
        <f aca="false">DATE(YEAR(A968),MONTH(A968),1)</f>
        <v>46235</v>
      </c>
      <c r="C968" s="3" t="s">
        <v>49</v>
      </c>
      <c r="D968" s="3" t="s">
        <v>50</v>
      </c>
      <c r="E968" s="3" t="s">
        <v>28</v>
      </c>
      <c r="F968" s="3" t="n">
        <v>30</v>
      </c>
      <c r="G968" s="36" t="n">
        <v>1.2</v>
      </c>
      <c r="H968" s="36" t="n">
        <f aca="false">F968*G968</f>
        <v>36</v>
      </c>
      <c r="I968" s="36" t="n">
        <f aca="false">INDEX(Inventory!$D$2:$D$17,MATCH(C968,Inventory!$A$2:$A$17,0))</f>
        <v>0.7</v>
      </c>
      <c r="J968" s="36" t="n">
        <f aca="false">F968*I968</f>
        <v>21</v>
      </c>
      <c r="K968" s="36" t="n">
        <f aca="false">H968-J968</f>
        <v>15</v>
      </c>
    </row>
    <row r="969" customFormat="false" ht="15" hidden="false" customHeight="false" outlineLevel="0" collapsed="false">
      <c r="A969" s="41" t="n">
        <v>46264</v>
      </c>
      <c r="B969" s="42" t="n">
        <f aca="false">DATE(YEAR(A969),MONTH(A969),1)</f>
        <v>46235</v>
      </c>
      <c r="C969" s="3" t="s">
        <v>51</v>
      </c>
      <c r="D969" s="3" t="s">
        <v>52</v>
      </c>
      <c r="E969" s="3" t="s">
        <v>28</v>
      </c>
      <c r="F969" s="3" t="n">
        <v>32</v>
      </c>
      <c r="G969" s="36" t="n">
        <v>0.85</v>
      </c>
      <c r="H969" s="36" t="n">
        <f aca="false">F969*G969</f>
        <v>27.2</v>
      </c>
      <c r="I969" s="36" t="n">
        <f aca="false">INDEX(Inventory!$D$2:$D$17,MATCH(C969,Inventory!$A$2:$A$17,0))</f>
        <v>0.45</v>
      </c>
      <c r="J969" s="36" t="n">
        <f aca="false">F969*I969</f>
        <v>14.4</v>
      </c>
      <c r="K969" s="36" t="n">
        <f aca="false">H969-J969</f>
        <v>12.8</v>
      </c>
    </row>
    <row r="970" customFormat="false" ht="15" hidden="false" customHeight="false" outlineLevel="0" collapsed="false">
      <c r="A970" s="41" t="n">
        <v>46264</v>
      </c>
      <c r="B970" s="42" t="n">
        <f aca="false">DATE(YEAR(A970),MONTH(A970),1)</f>
        <v>46235</v>
      </c>
      <c r="C970" s="3" t="s">
        <v>37</v>
      </c>
      <c r="D970" s="3" t="s">
        <v>38</v>
      </c>
      <c r="E970" s="3" t="s">
        <v>26</v>
      </c>
      <c r="F970" s="3" t="n">
        <v>20</v>
      </c>
      <c r="G970" s="36" t="n">
        <v>1.2</v>
      </c>
      <c r="H970" s="36" t="n">
        <f aca="false">F970*G970</f>
        <v>24</v>
      </c>
      <c r="I970" s="36" t="n">
        <f aca="false">INDEX(Inventory!$D$2:$D$17,MATCH(C970,Inventory!$A$2:$A$17,0))</f>
        <v>0.85</v>
      </c>
      <c r="J970" s="36" t="n">
        <f aca="false">F970*I970</f>
        <v>17</v>
      </c>
      <c r="K970" s="36" t="n">
        <f aca="false">H970-J970</f>
        <v>7</v>
      </c>
    </row>
    <row r="971" customFormat="false" ht="15" hidden="false" customHeight="false" outlineLevel="0" collapsed="false">
      <c r="A971" s="41" t="n">
        <v>46264</v>
      </c>
      <c r="B971" s="42" t="n">
        <f aca="false">DATE(YEAR(A971),MONTH(A971),1)</f>
        <v>46235</v>
      </c>
      <c r="C971" s="3" t="s">
        <v>47</v>
      </c>
      <c r="D971" s="3" t="s">
        <v>48</v>
      </c>
      <c r="E971" s="3" t="s">
        <v>26</v>
      </c>
      <c r="F971" s="3" t="n">
        <v>11</v>
      </c>
      <c r="G971" s="36" t="n">
        <v>2.2</v>
      </c>
      <c r="H971" s="36" t="n">
        <f aca="false">F971*G971</f>
        <v>24.2</v>
      </c>
      <c r="I971" s="36" t="n">
        <f aca="false">INDEX(Inventory!$D$2:$D$17,MATCH(C971,Inventory!$A$2:$A$17,0))</f>
        <v>1.4</v>
      </c>
      <c r="J971" s="36" t="n">
        <f aca="false">F971*I971</f>
        <v>15.4</v>
      </c>
      <c r="K971" s="36" t="n">
        <f aca="false">H971-J971</f>
        <v>8.8</v>
      </c>
    </row>
    <row r="972" customFormat="false" ht="15" hidden="false" customHeight="false" outlineLevel="0" collapsed="false">
      <c r="A972" s="41" t="n">
        <v>46264</v>
      </c>
      <c r="B972" s="42" t="n">
        <f aca="false">DATE(YEAR(A972),MONTH(A972),1)</f>
        <v>46235</v>
      </c>
      <c r="C972" s="3" t="s">
        <v>43</v>
      </c>
      <c r="D972" s="3" t="s">
        <v>44</v>
      </c>
      <c r="E972" s="3" t="s">
        <v>26</v>
      </c>
      <c r="F972" s="3" t="n">
        <v>10</v>
      </c>
      <c r="G972" s="36" t="n">
        <v>3.8</v>
      </c>
      <c r="H972" s="36" t="n">
        <f aca="false">F972*G972</f>
        <v>38</v>
      </c>
      <c r="I972" s="36" t="n">
        <f aca="false">INDEX(Inventory!$D$2:$D$17,MATCH(C972,Inventory!$A$2:$A$17,0))</f>
        <v>2.6</v>
      </c>
      <c r="J972" s="36" t="n">
        <f aca="false">F972*I972</f>
        <v>26</v>
      </c>
      <c r="K972" s="36" t="n">
        <f aca="false">H972-J972</f>
        <v>12</v>
      </c>
    </row>
    <row r="973" customFormat="false" ht="15" hidden="false" customHeight="false" outlineLevel="0" collapsed="false">
      <c r="A973" s="41" t="n">
        <v>46264</v>
      </c>
      <c r="B973" s="42" t="n">
        <f aca="false">DATE(YEAR(A973),MONTH(A973),1)</f>
        <v>46235</v>
      </c>
      <c r="C973" s="3" t="s">
        <v>67</v>
      </c>
      <c r="D973" s="3" t="s">
        <v>68</v>
      </c>
      <c r="E973" s="3" t="s">
        <v>26</v>
      </c>
      <c r="F973" s="3" t="n">
        <v>9</v>
      </c>
      <c r="G973" s="36" t="n">
        <v>1.9</v>
      </c>
      <c r="H973" s="36" t="n">
        <f aca="false">F973*G973</f>
        <v>17.1</v>
      </c>
      <c r="I973" s="36" t="n">
        <f aca="false">INDEX(Inventory!$D$2:$D$17,MATCH(C973,Inventory!$A$2:$A$17,0))</f>
        <v>1.3</v>
      </c>
      <c r="J973" s="36" t="n">
        <f aca="false">F973*I973</f>
        <v>11.7</v>
      </c>
      <c r="K973" s="36" t="n">
        <f aca="false">H973-J973</f>
        <v>5.4</v>
      </c>
    </row>
    <row r="974" customFormat="false" ht="15" hidden="false" customHeight="false" outlineLevel="0" collapsed="false">
      <c r="A974" s="41" t="n">
        <v>46264</v>
      </c>
      <c r="B974" s="42" t="n">
        <f aca="false">DATE(YEAR(A974),MONTH(A974),1)</f>
        <v>46235</v>
      </c>
      <c r="C974" s="3" t="s">
        <v>61</v>
      </c>
      <c r="D974" s="3" t="s">
        <v>62</v>
      </c>
      <c r="E974" s="3" t="s">
        <v>29</v>
      </c>
      <c r="F974" s="3" t="n">
        <v>14</v>
      </c>
      <c r="G974" s="36" t="n">
        <v>1.9</v>
      </c>
      <c r="H974" s="36" t="n">
        <f aca="false">F974*G974</f>
        <v>26.6</v>
      </c>
      <c r="I974" s="36" t="n">
        <f aca="false">INDEX(Inventory!$D$2:$D$17,MATCH(C974,Inventory!$A$2:$A$17,0))</f>
        <v>1.1</v>
      </c>
      <c r="J974" s="36" t="n">
        <f aca="false">F974*I974</f>
        <v>15.4</v>
      </c>
      <c r="K974" s="36" t="n">
        <f aca="false">H974-J974</f>
        <v>11.2</v>
      </c>
    </row>
    <row r="975" customFormat="false" ht="15" hidden="false" customHeight="false" outlineLevel="0" collapsed="false">
      <c r="A975" s="41" t="n">
        <v>46264</v>
      </c>
      <c r="B975" s="42" t="n">
        <f aca="false">DATE(YEAR(A975),MONTH(A975),1)</f>
        <v>46235</v>
      </c>
      <c r="C975" s="3" t="s">
        <v>45</v>
      </c>
      <c r="D975" s="3" t="s">
        <v>46</v>
      </c>
      <c r="E975" s="3" t="s">
        <v>29</v>
      </c>
      <c r="F975" s="3" t="n">
        <v>4</v>
      </c>
      <c r="G975" s="36" t="n">
        <v>5.2</v>
      </c>
      <c r="H975" s="36" t="n">
        <f aca="false">F975*G975</f>
        <v>20.8</v>
      </c>
      <c r="I975" s="36" t="n">
        <f aca="false">INDEX(Inventory!$D$2:$D$17,MATCH(C975,Inventory!$A$2:$A$17,0))</f>
        <v>3.5</v>
      </c>
      <c r="J975" s="36" t="n">
        <f aca="false">F975*I975</f>
        <v>14</v>
      </c>
      <c r="K975" s="36" t="n">
        <f aca="false">H975-J975</f>
        <v>6.8</v>
      </c>
    </row>
    <row r="976" customFormat="false" ht="15" hidden="false" customHeight="false" outlineLevel="0" collapsed="false">
      <c r="A976" s="41" t="n">
        <v>46264</v>
      </c>
      <c r="B976" s="42" t="n">
        <f aca="false">DATE(YEAR(A976),MONTH(A976),1)</f>
        <v>46235</v>
      </c>
      <c r="C976" s="3" t="s">
        <v>65</v>
      </c>
      <c r="D976" s="3" t="s">
        <v>66</v>
      </c>
      <c r="E976" s="3" t="s">
        <v>29</v>
      </c>
      <c r="F976" s="3" t="n">
        <v>10</v>
      </c>
      <c r="G976" s="36" t="n">
        <v>1.5</v>
      </c>
      <c r="H976" s="36" t="n">
        <f aca="false">F976*G976</f>
        <v>15</v>
      </c>
      <c r="I976" s="36" t="n">
        <f aca="false">INDEX(Inventory!$D$2:$D$17,MATCH(C976,Inventory!$A$2:$A$17,0))</f>
        <v>0.9</v>
      </c>
      <c r="J976" s="36" t="n">
        <f aca="false">F976*I976</f>
        <v>9</v>
      </c>
      <c r="K976" s="36" t="n">
        <f aca="false">H976-J976</f>
        <v>6</v>
      </c>
    </row>
    <row r="977" customFormat="false" ht="15" hidden="false" customHeight="false" outlineLevel="0" collapsed="false">
      <c r="A977" s="41" t="n">
        <v>46264</v>
      </c>
      <c r="B977" s="42" t="n">
        <f aca="false">DATE(YEAR(A977),MONTH(A977),1)</f>
        <v>46235</v>
      </c>
      <c r="C977" s="3" t="s">
        <v>55</v>
      </c>
      <c r="D977" s="3" t="s">
        <v>56</v>
      </c>
      <c r="E977" s="3" t="s">
        <v>29</v>
      </c>
      <c r="F977" s="3" t="n">
        <v>11</v>
      </c>
      <c r="G977" s="36" t="n">
        <v>2.5</v>
      </c>
      <c r="H977" s="36" t="n">
        <f aca="false">F977*G977</f>
        <v>27.5</v>
      </c>
      <c r="I977" s="36" t="n">
        <f aca="false">INDEX(Inventory!$D$2:$D$17,MATCH(C977,Inventory!$A$2:$A$17,0))</f>
        <v>1.6</v>
      </c>
      <c r="J977" s="36" t="n">
        <f aca="false">F977*I977</f>
        <v>17.6</v>
      </c>
      <c r="K977" s="36" t="n">
        <f aca="false">H977-J977</f>
        <v>9.9</v>
      </c>
    </row>
    <row r="978" customFormat="false" ht="15" hidden="false" customHeight="false" outlineLevel="0" collapsed="false">
      <c r="A978" s="41" t="n">
        <v>46265</v>
      </c>
      <c r="B978" s="42" t="n">
        <f aca="false">DATE(YEAR(A978),MONTH(A978),1)</f>
        <v>46235</v>
      </c>
      <c r="C978" s="3" t="s">
        <v>39</v>
      </c>
      <c r="D978" s="3" t="s">
        <v>40</v>
      </c>
      <c r="E978" s="3" t="s">
        <v>27</v>
      </c>
      <c r="F978" s="3" t="n">
        <v>37</v>
      </c>
      <c r="G978" s="36" t="n">
        <v>1</v>
      </c>
      <c r="H978" s="36" t="n">
        <f aca="false">F978*G978</f>
        <v>37</v>
      </c>
      <c r="I978" s="36" t="n">
        <f aca="false">INDEX(Inventory!$D$2:$D$17,MATCH(C978,Inventory!$A$2:$A$17,0))</f>
        <v>0.6</v>
      </c>
      <c r="J978" s="36" t="n">
        <f aca="false">F978*I978</f>
        <v>22.2</v>
      </c>
      <c r="K978" s="36" t="n">
        <f aca="false">H978-J978</f>
        <v>14.8</v>
      </c>
    </row>
    <row r="979" customFormat="false" ht="15" hidden="false" customHeight="false" outlineLevel="0" collapsed="false">
      <c r="A979" s="41" t="n">
        <v>46265</v>
      </c>
      <c r="B979" s="42" t="n">
        <f aca="false">DATE(YEAR(A979),MONTH(A979),1)</f>
        <v>46235</v>
      </c>
      <c r="C979" s="3" t="s">
        <v>53</v>
      </c>
      <c r="D979" s="3" t="s">
        <v>54</v>
      </c>
      <c r="E979" s="3" t="s">
        <v>27</v>
      </c>
      <c r="F979" s="3" t="n">
        <v>27</v>
      </c>
      <c r="G979" s="36" t="n">
        <v>0.95</v>
      </c>
      <c r="H979" s="36" t="n">
        <f aca="false">F979*G979</f>
        <v>25.65</v>
      </c>
      <c r="I979" s="36" t="n">
        <f aca="false">INDEX(Inventory!$D$2:$D$17,MATCH(C979,Inventory!$A$2:$A$17,0))</f>
        <v>0.55</v>
      </c>
      <c r="J979" s="36" t="n">
        <f aca="false">F979*I979</f>
        <v>14.85</v>
      </c>
      <c r="K979" s="36" t="n">
        <f aca="false">H979-J979</f>
        <v>10.8</v>
      </c>
    </row>
    <row r="980" customFormat="false" ht="15" hidden="false" customHeight="false" outlineLevel="0" collapsed="false">
      <c r="A980" s="41" t="n">
        <v>46265</v>
      </c>
      <c r="B980" s="42" t="n">
        <f aca="false">DATE(YEAR(A980),MONTH(A980),1)</f>
        <v>46235</v>
      </c>
      <c r="C980" s="3" t="s">
        <v>59</v>
      </c>
      <c r="D980" s="3" t="s">
        <v>60</v>
      </c>
      <c r="E980" s="3" t="s">
        <v>27</v>
      </c>
      <c r="F980" s="3" t="n">
        <v>28</v>
      </c>
      <c r="G980" s="36" t="n">
        <v>0.6</v>
      </c>
      <c r="H980" s="36" t="n">
        <f aca="false">F980*G980</f>
        <v>16.8</v>
      </c>
      <c r="I980" s="36" t="n">
        <f aca="false">INDEX(Inventory!$D$2:$D$17,MATCH(C980,Inventory!$A$2:$A$17,0))</f>
        <v>0.3</v>
      </c>
      <c r="J980" s="36" t="n">
        <f aca="false">F980*I980</f>
        <v>8.4</v>
      </c>
      <c r="K980" s="36" t="n">
        <f aca="false">H980-J980</f>
        <v>8.4</v>
      </c>
    </row>
    <row r="981" customFormat="false" ht="15" hidden="false" customHeight="false" outlineLevel="0" collapsed="false">
      <c r="A981" s="41" t="n">
        <v>46265</v>
      </c>
      <c r="B981" s="42" t="n">
        <f aca="false">DATE(YEAR(A981),MONTH(A981),1)</f>
        <v>46235</v>
      </c>
      <c r="C981" s="3" t="s">
        <v>57</v>
      </c>
      <c r="D981" s="3" t="s">
        <v>58</v>
      </c>
      <c r="E981" s="3" t="s">
        <v>27</v>
      </c>
      <c r="F981" s="3" t="n">
        <v>16</v>
      </c>
      <c r="G981" s="36" t="n">
        <v>1.5</v>
      </c>
      <c r="H981" s="36" t="n">
        <f aca="false">F981*G981</f>
        <v>24</v>
      </c>
      <c r="I981" s="36" t="n">
        <f aca="false">INDEX(Inventory!$D$2:$D$17,MATCH(C981,Inventory!$A$2:$A$17,0))</f>
        <v>0.9</v>
      </c>
      <c r="J981" s="36" t="n">
        <f aca="false">F981*I981</f>
        <v>14.4</v>
      </c>
      <c r="K981" s="36" t="n">
        <f aca="false">H981-J981</f>
        <v>9.6</v>
      </c>
    </row>
    <row r="982" customFormat="false" ht="15" hidden="false" customHeight="false" outlineLevel="0" collapsed="false">
      <c r="A982" s="41" t="n">
        <v>46265</v>
      </c>
      <c r="B982" s="42" t="n">
        <f aca="false">DATE(YEAR(A982),MONTH(A982),1)</f>
        <v>46235</v>
      </c>
      <c r="C982" s="3" t="s">
        <v>41</v>
      </c>
      <c r="D982" s="3" t="s">
        <v>42</v>
      </c>
      <c r="E982" s="3" t="s">
        <v>28</v>
      </c>
      <c r="F982" s="3" t="n">
        <v>29</v>
      </c>
      <c r="G982" s="36" t="n">
        <v>1.3</v>
      </c>
      <c r="H982" s="36" t="n">
        <f aca="false">F982*G982</f>
        <v>37.7</v>
      </c>
      <c r="I982" s="36" t="n">
        <f aca="false">INDEX(Inventory!$D$2:$D$17,MATCH(C982,Inventory!$A$2:$A$17,0))</f>
        <v>0.8</v>
      </c>
      <c r="J982" s="36" t="n">
        <f aca="false">F982*I982</f>
        <v>23.2</v>
      </c>
      <c r="K982" s="36" t="n">
        <f aca="false">H982-J982</f>
        <v>14.5</v>
      </c>
    </row>
    <row r="983" customFormat="false" ht="15" hidden="false" customHeight="false" outlineLevel="0" collapsed="false">
      <c r="A983" s="41" t="n">
        <v>46265</v>
      </c>
      <c r="B983" s="42" t="n">
        <f aca="false">DATE(YEAR(A983),MONTH(A983),1)</f>
        <v>46235</v>
      </c>
      <c r="C983" s="3" t="s">
        <v>63</v>
      </c>
      <c r="D983" s="3" t="s">
        <v>64</v>
      </c>
      <c r="E983" s="3" t="s">
        <v>28</v>
      </c>
      <c r="F983" s="3" t="n">
        <v>19</v>
      </c>
      <c r="G983" s="36" t="n">
        <v>0.9</v>
      </c>
      <c r="H983" s="36" t="n">
        <f aca="false">F983*G983</f>
        <v>17.1</v>
      </c>
      <c r="I983" s="36" t="n">
        <f aca="false">INDEX(Inventory!$D$2:$D$17,MATCH(C983,Inventory!$A$2:$A$17,0))</f>
        <v>0.5</v>
      </c>
      <c r="J983" s="36" t="n">
        <f aca="false">F983*I983</f>
        <v>9.5</v>
      </c>
      <c r="K983" s="36" t="n">
        <f aca="false">H983-J983</f>
        <v>7.6</v>
      </c>
    </row>
    <row r="984" customFormat="false" ht="15" hidden="false" customHeight="false" outlineLevel="0" collapsed="false">
      <c r="A984" s="41" t="n">
        <v>46265</v>
      </c>
      <c r="B984" s="42" t="n">
        <f aca="false">DATE(YEAR(A984),MONTH(A984),1)</f>
        <v>46235</v>
      </c>
      <c r="C984" s="3" t="s">
        <v>49</v>
      </c>
      <c r="D984" s="3" t="s">
        <v>50</v>
      </c>
      <c r="E984" s="3" t="s">
        <v>28</v>
      </c>
      <c r="F984" s="3" t="n">
        <v>20</v>
      </c>
      <c r="G984" s="36" t="n">
        <v>1.2</v>
      </c>
      <c r="H984" s="36" t="n">
        <f aca="false">F984*G984</f>
        <v>24</v>
      </c>
      <c r="I984" s="36" t="n">
        <f aca="false">INDEX(Inventory!$D$2:$D$17,MATCH(C984,Inventory!$A$2:$A$17,0))</f>
        <v>0.7</v>
      </c>
      <c r="J984" s="36" t="n">
        <f aca="false">F984*I984</f>
        <v>14</v>
      </c>
      <c r="K984" s="36" t="n">
        <f aca="false">H984-J984</f>
        <v>10</v>
      </c>
    </row>
    <row r="985" customFormat="false" ht="15" hidden="false" customHeight="false" outlineLevel="0" collapsed="false">
      <c r="A985" s="41" t="n">
        <v>46265</v>
      </c>
      <c r="B985" s="42" t="n">
        <f aca="false">DATE(YEAR(A985),MONTH(A985),1)</f>
        <v>46235</v>
      </c>
      <c r="C985" s="3" t="s">
        <v>51</v>
      </c>
      <c r="D985" s="3" t="s">
        <v>52</v>
      </c>
      <c r="E985" s="3" t="s">
        <v>28</v>
      </c>
      <c r="F985" s="3" t="n">
        <v>27</v>
      </c>
      <c r="G985" s="36" t="n">
        <v>0.85</v>
      </c>
      <c r="H985" s="36" t="n">
        <f aca="false">F985*G985</f>
        <v>22.95</v>
      </c>
      <c r="I985" s="36" t="n">
        <f aca="false">INDEX(Inventory!$D$2:$D$17,MATCH(C985,Inventory!$A$2:$A$17,0))</f>
        <v>0.45</v>
      </c>
      <c r="J985" s="36" t="n">
        <f aca="false">F985*I985</f>
        <v>12.15</v>
      </c>
      <c r="K985" s="36" t="n">
        <f aca="false">H985-J985</f>
        <v>10.8</v>
      </c>
    </row>
    <row r="986" customFormat="false" ht="15" hidden="false" customHeight="false" outlineLevel="0" collapsed="false">
      <c r="A986" s="41" t="n">
        <v>46265</v>
      </c>
      <c r="B986" s="42" t="n">
        <f aca="false">DATE(YEAR(A986),MONTH(A986),1)</f>
        <v>46235</v>
      </c>
      <c r="C986" s="3" t="s">
        <v>37</v>
      </c>
      <c r="D986" s="3" t="s">
        <v>38</v>
      </c>
      <c r="E986" s="3" t="s">
        <v>26</v>
      </c>
      <c r="F986" s="3" t="n">
        <v>20</v>
      </c>
      <c r="G986" s="36" t="n">
        <v>1.2</v>
      </c>
      <c r="H986" s="36" t="n">
        <f aca="false">F986*G986</f>
        <v>24</v>
      </c>
      <c r="I986" s="36" t="n">
        <f aca="false">INDEX(Inventory!$D$2:$D$17,MATCH(C986,Inventory!$A$2:$A$17,0))</f>
        <v>0.85</v>
      </c>
      <c r="J986" s="36" t="n">
        <f aca="false">F986*I986</f>
        <v>17</v>
      </c>
      <c r="K986" s="36" t="n">
        <f aca="false">H986-J986</f>
        <v>7</v>
      </c>
    </row>
    <row r="987" customFormat="false" ht="15" hidden="false" customHeight="false" outlineLevel="0" collapsed="false">
      <c r="A987" s="41" t="n">
        <v>46265</v>
      </c>
      <c r="B987" s="42" t="n">
        <f aca="false">DATE(YEAR(A987),MONTH(A987),1)</f>
        <v>46235</v>
      </c>
      <c r="C987" s="3" t="s">
        <v>47</v>
      </c>
      <c r="D987" s="3" t="s">
        <v>48</v>
      </c>
      <c r="E987" s="3" t="s">
        <v>26</v>
      </c>
      <c r="F987" s="3" t="n">
        <v>7</v>
      </c>
      <c r="G987" s="36" t="n">
        <v>2.2</v>
      </c>
      <c r="H987" s="36" t="n">
        <f aca="false">F987*G987</f>
        <v>15.4</v>
      </c>
      <c r="I987" s="36" t="n">
        <f aca="false">INDEX(Inventory!$D$2:$D$17,MATCH(C987,Inventory!$A$2:$A$17,0))</f>
        <v>1.4</v>
      </c>
      <c r="J987" s="36" t="n">
        <f aca="false">F987*I987</f>
        <v>9.8</v>
      </c>
      <c r="K987" s="36" t="n">
        <f aca="false">H987-J987</f>
        <v>5.6</v>
      </c>
    </row>
    <row r="988" customFormat="false" ht="15" hidden="false" customHeight="false" outlineLevel="0" collapsed="false">
      <c r="A988" s="41" t="n">
        <v>46265</v>
      </c>
      <c r="B988" s="42" t="n">
        <f aca="false">DATE(YEAR(A988),MONTH(A988),1)</f>
        <v>46235</v>
      </c>
      <c r="C988" s="3" t="s">
        <v>43</v>
      </c>
      <c r="D988" s="3" t="s">
        <v>44</v>
      </c>
      <c r="E988" s="3" t="s">
        <v>26</v>
      </c>
      <c r="F988" s="3" t="n">
        <v>9</v>
      </c>
      <c r="G988" s="36" t="n">
        <v>3.8</v>
      </c>
      <c r="H988" s="36" t="n">
        <f aca="false">F988*G988</f>
        <v>34.2</v>
      </c>
      <c r="I988" s="36" t="n">
        <f aca="false">INDEX(Inventory!$D$2:$D$17,MATCH(C988,Inventory!$A$2:$A$17,0))</f>
        <v>2.6</v>
      </c>
      <c r="J988" s="36" t="n">
        <f aca="false">F988*I988</f>
        <v>23.4</v>
      </c>
      <c r="K988" s="36" t="n">
        <f aca="false">H988-J988</f>
        <v>10.8</v>
      </c>
    </row>
    <row r="989" customFormat="false" ht="15" hidden="false" customHeight="false" outlineLevel="0" collapsed="false">
      <c r="A989" s="41" t="n">
        <v>46265</v>
      </c>
      <c r="B989" s="42" t="n">
        <f aca="false">DATE(YEAR(A989),MONTH(A989),1)</f>
        <v>46235</v>
      </c>
      <c r="C989" s="3" t="s">
        <v>67</v>
      </c>
      <c r="D989" s="3" t="s">
        <v>68</v>
      </c>
      <c r="E989" s="3" t="s">
        <v>26</v>
      </c>
      <c r="F989" s="3" t="n">
        <v>6</v>
      </c>
      <c r="G989" s="36" t="n">
        <v>1.9</v>
      </c>
      <c r="H989" s="36" t="n">
        <f aca="false">F989*G989</f>
        <v>11.4</v>
      </c>
      <c r="I989" s="36" t="n">
        <f aca="false">INDEX(Inventory!$D$2:$D$17,MATCH(C989,Inventory!$A$2:$A$17,0))</f>
        <v>1.3</v>
      </c>
      <c r="J989" s="36" t="n">
        <f aca="false">F989*I989</f>
        <v>7.8</v>
      </c>
      <c r="K989" s="36" t="n">
        <f aca="false">H989-J989</f>
        <v>3.6</v>
      </c>
    </row>
    <row r="990" customFormat="false" ht="15" hidden="false" customHeight="false" outlineLevel="0" collapsed="false">
      <c r="A990" s="41" t="n">
        <v>46265</v>
      </c>
      <c r="B990" s="42" t="n">
        <f aca="false">DATE(YEAR(A990),MONTH(A990),1)</f>
        <v>46235</v>
      </c>
      <c r="C990" s="3" t="s">
        <v>61</v>
      </c>
      <c r="D990" s="3" t="s">
        <v>62</v>
      </c>
      <c r="E990" s="3" t="s">
        <v>29</v>
      </c>
      <c r="F990" s="3" t="n">
        <v>9</v>
      </c>
      <c r="G990" s="36" t="n">
        <v>1.9</v>
      </c>
      <c r="H990" s="36" t="n">
        <f aca="false">F990*G990</f>
        <v>17.1</v>
      </c>
      <c r="I990" s="36" t="n">
        <f aca="false">INDEX(Inventory!$D$2:$D$17,MATCH(C990,Inventory!$A$2:$A$17,0))</f>
        <v>1.1</v>
      </c>
      <c r="J990" s="36" t="n">
        <f aca="false">F990*I990</f>
        <v>9.9</v>
      </c>
      <c r="K990" s="36" t="n">
        <f aca="false">H990-J990</f>
        <v>7.2</v>
      </c>
    </row>
    <row r="991" customFormat="false" ht="15" hidden="false" customHeight="false" outlineLevel="0" collapsed="false">
      <c r="A991" s="41" t="n">
        <v>46265</v>
      </c>
      <c r="B991" s="42" t="n">
        <f aca="false">DATE(YEAR(A991),MONTH(A991),1)</f>
        <v>46235</v>
      </c>
      <c r="C991" s="3" t="s">
        <v>45</v>
      </c>
      <c r="D991" s="3" t="s">
        <v>46</v>
      </c>
      <c r="E991" s="3" t="s">
        <v>29</v>
      </c>
      <c r="F991" s="3" t="n">
        <v>4</v>
      </c>
      <c r="G991" s="36" t="n">
        <v>5.2</v>
      </c>
      <c r="H991" s="36" t="n">
        <f aca="false">F991*G991</f>
        <v>20.8</v>
      </c>
      <c r="I991" s="36" t="n">
        <f aca="false">INDEX(Inventory!$D$2:$D$17,MATCH(C991,Inventory!$A$2:$A$17,0))</f>
        <v>3.5</v>
      </c>
      <c r="J991" s="36" t="n">
        <f aca="false">F991*I991</f>
        <v>14</v>
      </c>
      <c r="K991" s="36" t="n">
        <f aca="false">H991-J991</f>
        <v>6.8</v>
      </c>
    </row>
    <row r="992" customFormat="false" ht="15" hidden="false" customHeight="false" outlineLevel="0" collapsed="false">
      <c r="A992" s="41" t="n">
        <v>46265</v>
      </c>
      <c r="B992" s="42" t="n">
        <f aca="false">DATE(YEAR(A992),MONTH(A992),1)</f>
        <v>46235</v>
      </c>
      <c r="C992" s="3" t="s">
        <v>65</v>
      </c>
      <c r="D992" s="3" t="s">
        <v>66</v>
      </c>
      <c r="E992" s="3" t="s">
        <v>29</v>
      </c>
      <c r="F992" s="3" t="n">
        <v>8</v>
      </c>
      <c r="G992" s="36" t="n">
        <v>1.5</v>
      </c>
      <c r="H992" s="36" t="n">
        <f aca="false">F992*G992</f>
        <v>12</v>
      </c>
      <c r="I992" s="36" t="n">
        <f aca="false">INDEX(Inventory!$D$2:$D$17,MATCH(C992,Inventory!$A$2:$A$17,0))</f>
        <v>0.9</v>
      </c>
      <c r="J992" s="36" t="n">
        <f aca="false">F992*I992</f>
        <v>7.2</v>
      </c>
      <c r="K992" s="36" t="n">
        <f aca="false">H992-J992</f>
        <v>4.8</v>
      </c>
    </row>
    <row r="993" customFormat="false" ht="15" hidden="false" customHeight="false" outlineLevel="0" collapsed="false">
      <c r="A993" s="41" t="n">
        <v>46265</v>
      </c>
      <c r="B993" s="42" t="n">
        <f aca="false">DATE(YEAR(A993),MONTH(A993),1)</f>
        <v>46235</v>
      </c>
      <c r="C993" s="3" t="s">
        <v>55</v>
      </c>
      <c r="D993" s="3" t="s">
        <v>56</v>
      </c>
      <c r="E993" s="3" t="s">
        <v>29</v>
      </c>
      <c r="F993" s="3" t="n">
        <v>8</v>
      </c>
      <c r="G993" s="36" t="n">
        <v>2.5</v>
      </c>
      <c r="H993" s="36" t="n">
        <f aca="false">F993*G993</f>
        <v>20</v>
      </c>
      <c r="I993" s="36" t="n">
        <f aca="false">INDEX(Inventory!$D$2:$D$17,MATCH(C993,Inventory!$A$2:$A$17,0))</f>
        <v>1.6</v>
      </c>
      <c r="J993" s="36" t="n">
        <f aca="false">F993*I993</f>
        <v>12.8</v>
      </c>
      <c r="K993" s="36" t="n">
        <f aca="false">H993-J993</f>
        <v>7.2</v>
      </c>
    </row>
    <row r="994" customFormat="false" ht="15" hidden="false" customHeight="false" outlineLevel="0" collapsed="false">
      <c r="A994" s="41" t="n">
        <v>46266</v>
      </c>
      <c r="B994" s="42" t="n">
        <f aca="false">DATE(YEAR(A994),MONTH(A994),1)</f>
        <v>46266</v>
      </c>
      <c r="C994" s="3" t="s">
        <v>39</v>
      </c>
      <c r="D994" s="3" t="s">
        <v>40</v>
      </c>
      <c r="E994" s="3" t="s">
        <v>27</v>
      </c>
      <c r="F994" s="3" t="n">
        <v>21</v>
      </c>
      <c r="G994" s="36" t="n">
        <v>1</v>
      </c>
      <c r="H994" s="36" t="n">
        <f aca="false">F994*G994</f>
        <v>21</v>
      </c>
      <c r="I994" s="36" t="n">
        <f aca="false">INDEX(Inventory!$D$2:$D$17,MATCH(C994,Inventory!$A$2:$A$17,0))</f>
        <v>0.6</v>
      </c>
      <c r="J994" s="36" t="n">
        <f aca="false">F994*I994</f>
        <v>12.6</v>
      </c>
      <c r="K994" s="36" t="n">
        <f aca="false">H994-J994</f>
        <v>8.4</v>
      </c>
    </row>
    <row r="995" customFormat="false" ht="15" hidden="false" customHeight="false" outlineLevel="0" collapsed="false">
      <c r="A995" s="41" t="n">
        <v>46266</v>
      </c>
      <c r="B995" s="42" t="n">
        <f aca="false">DATE(YEAR(A995),MONTH(A995),1)</f>
        <v>46266</v>
      </c>
      <c r="C995" s="3" t="s">
        <v>53</v>
      </c>
      <c r="D995" s="3" t="s">
        <v>54</v>
      </c>
      <c r="E995" s="3" t="s">
        <v>27</v>
      </c>
      <c r="F995" s="3" t="n">
        <v>20</v>
      </c>
      <c r="G995" s="36" t="n">
        <v>0.95</v>
      </c>
      <c r="H995" s="36" t="n">
        <f aca="false">F995*G995</f>
        <v>19</v>
      </c>
      <c r="I995" s="36" t="n">
        <f aca="false">INDEX(Inventory!$D$2:$D$17,MATCH(C995,Inventory!$A$2:$A$17,0))</f>
        <v>0.55</v>
      </c>
      <c r="J995" s="36" t="n">
        <f aca="false">F995*I995</f>
        <v>11</v>
      </c>
      <c r="K995" s="36" t="n">
        <f aca="false">H995-J995</f>
        <v>8</v>
      </c>
    </row>
    <row r="996" customFormat="false" ht="15" hidden="false" customHeight="false" outlineLevel="0" collapsed="false">
      <c r="A996" s="41" t="n">
        <v>46266</v>
      </c>
      <c r="B996" s="42" t="n">
        <f aca="false">DATE(YEAR(A996),MONTH(A996),1)</f>
        <v>46266</v>
      </c>
      <c r="C996" s="3" t="s">
        <v>59</v>
      </c>
      <c r="D996" s="3" t="s">
        <v>60</v>
      </c>
      <c r="E996" s="3" t="s">
        <v>27</v>
      </c>
      <c r="F996" s="3" t="n">
        <v>34</v>
      </c>
      <c r="G996" s="36" t="n">
        <v>0.6</v>
      </c>
      <c r="H996" s="36" t="n">
        <f aca="false">F996*G996</f>
        <v>20.4</v>
      </c>
      <c r="I996" s="36" t="n">
        <f aca="false">INDEX(Inventory!$D$2:$D$17,MATCH(C996,Inventory!$A$2:$A$17,0))</f>
        <v>0.3</v>
      </c>
      <c r="J996" s="36" t="n">
        <f aca="false">F996*I996</f>
        <v>10.2</v>
      </c>
      <c r="K996" s="36" t="n">
        <f aca="false">H996-J996</f>
        <v>10.2</v>
      </c>
    </row>
    <row r="997" customFormat="false" ht="15" hidden="false" customHeight="false" outlineLevel="0" collapsed="false">
      <c r="A997" s="41" t="n">
        <v>46266</v>
      </c>
      <c r="B997" s="42" t="n">
        <f aca="false">DATE(YEAR(A997),MONTH(A997),1)</f>
        <v>46266</v>
      </c>
      <c r="C997" s="3" t="s">
        <v>57</v>
      </c>
      <c r="D997" s="3" t="s">
        <v>58</v>
      </c>
      <c r="E997" s="3" t="s">
        <v>27</v>
      </c>
      <c r="F997" s="3" t="n">
        <v>13</v>
      </c>
      <c r="G997" s="36" t="n">
        <v>1.5</v>
      </c>
      <c r="H997" s="36" t="n">
        <f aca="false">F997*G997</f>
        <v>19.5</v>
      </c>
      <c r="I997" s="36" t="n">
        <f aca="false">INDEX(Inventory!$D$2:$D$17,MATCH(C997,Inventory!$A$2:$A$17,0))</f>
        <v>0.9</v>
      </c>
      <c r="J997" s="36" t="n">
        <f aca="false">F997*I997</f>
        <v>11.7</v>
      </c>
      <c r="K997" s="36" t="n">
        <f aca="false">H997-J997</f>
        <v>7.8</v>
      </c>
    </row>
    <row r="998" customFormat="false" ht="15" hidden="false" customHeight="false" outlineLevel="0" collapsed="false">
      <c r="A998" s="41" t="n">
        <v>46266</v>
      </c>
      <c r="B998" s="42" t="n">
        <f aca="false">DATE(YEAR(A998),MONTH(A998),1)</f>
        <v>46266</v>
      </c>
      <c r="C998" s="3" t="s">
        <v>41</v>
      </c>
      <c r="D998" s="3" t="s">
        <v>42</v>
      </c>
      <c r="E998" s="3" t="s">
        <v>28</v>
      </c>
      <c r="F998" s="3" t="n">
        <v>18</v>
      </c>
      <c r="G998" s="36" t="n">
        <v>1.3</v>
      </c>
      <c r="H998" s="36" t="n">
        <f aca="false">F998*G998</f>
        <v>23.4</v>
      </c>
      <c r="I998" s="36" t="n">
        <f aca="false">INDEX(Inventory!$D$2:$D$17,MATCH(C998,Inventory!$A$2:$A$17,0))</f>
        <v>0.8</v>
      </c>
      <c r="J998" s="36" t="n">
        <f aca="false">F998*I998</f>
        <v>14.4</v>
      </c>
      <c r="K998" s="36" t="n">
        <f aca="false">H998-J998</f>
        <v>9</v>
      </c>
    </row>
    <row r="999" customFormat="false" ht="15" hidden="false" customHeight="false" outlineLevel="0" collapsed="false">
      <c r="A999" s="41" t="n">
        <v>46266</v>
      </c>
      <c r="B999" s="42" t="n">
        <f aca="false">DATE(YEAR(A999),MONTH(A999),1)</f>
        <v>46266</v>
      </c>
      <c r="C999" s="3" t="s">
        <v>63</v>
      </c>
      <c r="D999" s="3" t="s">
        <v>64</v>
      </c>
      <c r="E999" s="3" t="s">
        <v>28</v>
      </c>
      <c r="F999" s="3" t="n">
        <v>18</v>
      </c>
      <c r="G999" s="36" t="n">
        <v>0.9</v>
      </c>
      <c r="H999" s="36" t="n">
        <f aca="false">F999*G999</f>
        <v>16.2</v>
      </c>
      <c r="I999" s="36" t="n">
        <f aca="false">INDEX(Inventory!$D$2:$D$17,MATCH(C999,Inventory!$A$2:$A$17,0))</f>
        <v>0.5</v>
      </c>
      <c r="J999" s="36" t="n">
        <f aca="false">F999*I999</f>
        <v>9</v>
      </c>
      <c r="K999" s="36" t="n">
        <f aca="false">H999-J999</f>
        <v>7.2</v>
      </c>
    </row>
    <row r="1000" customFormat="false" ht="15" hidden="false" customHeight="false" outlineLevel="0" collapsed="false">
      <c r="A1000" s="41" t="n">
        <v>46266</v>
      </c>
      <c r="B1000" s="42" t="n">
        <f aca="false">DATE(YEAR(A1000),MONTH(A1000),1)</f>
        <v>46266</v>
      </c>
      <c r="C1000" s="3" t="s">
        <v>49</v>
      </c>
      <c r="D1000" s="3" t="s">
        <v>50</v>
      </c>
      <c r="E1000" s="3" t="s">
        <v>28</v>
      </c>
      <c r="F1000" s="3" t="n">
        <v>25</v>
      </c>
      <c r="G1000" s="36" t="n">
        <v>1.2</v>
      </c>
      <c r="H1000" s="36" t="n">
        <f aca="false">F1000*G1000</f>
        <v>30</v>
      </c>
      <c r="I1000" s="36" t="n">
        <f aca="false">INDEX(Inventory!$D$2:$D$17,MATCH(C1000,Inventory!$A$2:$A$17,0))</f>
        <v>0.7</v>
      </c>
      <c r="J1000" s="36" t="n">
        <f aca="false">F1000*I1000</f>
        <v>17.5</v>
      </c>
      <c r="K1000" s="36" t="n">
        <f aca="false">H1000-J1000</f>
        <v>12.5</v>
      </c>
    </row>
    <row r="1001" customFormat="false" ht="15" hidden="false" customHeight="false" outlineLevel="0" collapsed="false">
      <c r="A1001" s="41" t="n">
        <v>46266</v>
      </c>
      <c r="B1001" s="42" t="n">
        <f aca="false">DATE(YEAR(A1001),MONTH(A1001),1)</f>
        <v>46266</v>
      </c>
      <c r="C1001" s="3" t="s">
        <v>51</v>
      </c>
      <c r="D1001" s="3" t="s">
        <v>52</v>
      </c>
      <c r="E1001" s="3" t="s">
        <v>28</v>
      </c>
      <c r="F1001" s="3" t="n">
        <v>20</v>
      </c>
      <c r="G1001" s="36" t="n">
        <v>0.85</v>
      </c>
      <c r="H1001" s="36" t="n">
        <f aca="false">F1001*G1001</f>
        <v>17</v>
      </c>
      <c r="I1001" s="36" t="n">
        <f aca="false">INDEX(Inventory!$D$2:$D$17,MATCH(C1001,Inventory!$A$2:$A$17,0))</f>
        <v>0.45</v>
      </c>
      <c r="J1001" s="36" t="n">
        <f aca="false">F1001*I1001</f>
        <v>9</v>
      </c>
      <c r="K1001" s="36" t="n">
        <f aca="false">H1001-J1001</f>
        <v>8</v>
      </c>
    </row>
    <row r="1002" customFormat="false" ht="15" hidden="false" customHeight="false" outlineLevel="0" collapsed="false">
      <c r="A1002" s="41" t="n">
        <v>46266</v>
      </c>
      <c r="B1002" s="42" t="n">
        <f aca="false">DATE(YEAR(A1002),MONTH(A1002),1)</f>
        <v>46266</v>
      </c>
      <c r="C1002" s="3" t="s">
        <v>37</v>
      </c>
      <c r="D1002" s="3" t="s">
        <v>38</v>
      </c>
      <c r="E1002" s="3" t="s">
        <v>26</v>
      </c>
      <c r="F1002" s="3" t="n">
        <v>33</v>
      </c>
      <c r="G1002" s="36" t="n">
        <v>1.2</v>
      </c>
      <c r="H1002" s="36" t="n">
        <f aca="false">F1002*G1002</f>
        <v>39.6</v>
      </c>
      <c r="I1002" s="36" t="n">
        <f aca="false">INDEX(Inventory!$D$2:$D$17,MATCH(C1002,Inventory!$A$2:$A$17,0))</f>
        <v>0.85</v>
      </c>
      <c r="J1002" s="36" t="n">
        <f aca="false">F1002*I1002</f>
        <v>28.05</v>
      </c>
      <c r="K1002" s="36" t="n">
        <f aca="false">H1002-J1002</f>
        <v>11.55</v>
      </c>
    </row>
    <row r="1003" customFormat="false" ht="15" hidden="false" customHeight="false" outlineLevel="0" collapsed="false">
      <c r="A1003" s="41" t="n">
        <v>46266</v>
      </c>
      <c r="B1003" s="42" t="n">
        <f aca="false">DATE(YEAR(A1003),MONTH(A1003),1)</f>
        <v>46266</v>
      </c>
      <c r="C1003" s="3" t="s">
        <v>47</v>
      </c>
      <c r="D1003" s="3" t="s">
        <v>48</v>
      </c>
      <c r="E1003" s="3" t="s">
        <v>26</v>
      </c>
      <c r="F1003" s="3" t="n">
        <v>13</v>
      </c>
      <c r="G1003" s="36" t="n">
        <v>2.2</v>
      </c>
      <c r="H1003" s="36" t="n">
        <f aca="false">F1003*G1003</f>
        <v>28.6</v>
      </c>
      <c r="I1003" s="36" t="n">
        <f aca="false">INDEX(Inventory!$D$2:$D$17,MATCH(C1003,Inventory!$A$2:$A$17,0))</f>
        <v>1.4</v>
      </c>
      <c r="J1003" s="36" t="n">
        <f aca="false">F1003*I1003</f>
        <v>18.2</v>
      </c>
      <c r="K1003" s="36" t="n">
        <f aca="false">H1003-J1003</f>
        <v>10.4</v>
      </c>
    </row>
    <row r="1004" customFormat="false" ht="15" hidden="false" customHeight="false" outlineLevel="0" collapsed="false">
      <c r="A1004" s="41" t="n">
        <v>46266</v>
      </c>
      <c r="B1004" s="42" t="n">
        <f aca="false">DATE(YEAR(A1004),MONTH(A1004),1)</f>
        <v>46266</v>
      </c>
      <c r="C1004" s="3" t="s">
        <v>43</v>
      </c>
      <c r="D1004" s="3" t="s">
        <v>44</v>
      </c>
      <c r="E1004" s="3" t="s">
        <v>26</v>
      </c>
      <c r="F1004" s="3" t="n">
        <v>3</v>
      </c>
      <c r="G1004" s="36" t="n">
        <v>3.8</v>
      </c>
      <c r="H1004" s="36" t="n">
        <f aca="false">F1004*G1004</f>
        <v>11.4</v>
      </c>
      <c r="I1004" s="36" t="n">
        <f aca="false">INDEX(Inventory!$D$2:$D$17,MATCH(C1004,Inventory!$A$2:$A$17,0))</f>
        <v>2.6</v>
      </c>
      <c r="J1004" s="36" t="n">
        <f aca="false">F1004*I1004</f>
        <v>7.8</v>
      </c>
      <c r="K1004" s="36" t="n">
        <f aca="false">H1004-J1004</f>
        <v>3.6</v>
      </c>
    </row>
    <row r="1005" customFormat="false" ht="15" hidden="false" customHeight="false" outlineLevel="0" collapsed="false">
      <c r="A1005" s="41" t="n">
        <v>46266</v>
      </c>
      <c r="B1005" s="42" t="n">
        <f aca="false">DATE(YEAR(A1005),MONTH(A1005),1)</f>
        <v>46266</v>
      </c>
      <c r="C1005" s="3" t="s">
        <v>67</v>
      </c>
      <c r="D1005" s="3" t="s">
        <v>68</v>
      </c>
      <c r="E1005" s="3" t="s">
        <v>26</v>
      </c>
      <c r="F1005" s="3" t="n">
        <v>5</v>
      </c>
      <c r="G1005" s="36" t="n">
        <v>1.9</v>
      </c>
      <c r="H1005" s="36" t="n">
        <f aca="false">F1005*G1005</f>
        <v>9.5</v>
      </c>
      <c r="I1005" s="36" t="n">
        <f aca="false">INDEX(Inventory!$D$2:$D$17,MATCH(C1005,Inventory!$A$2:$A$17,0))</f>
        <v>1.3</v>
      </c>
      <c r="J1005" s="36" t="n">
        <f aca="false">F1005*I1005</f>
        <v>6.5</v>
      </c>
      <c r="K1005" s="36" t="n">
        <f aca="false">H1005-J1005</f>
        <v>3</v>
      </c>
    </row>
    <row r="1006" customFormat="false" ht="15" hidden="false" customHeight="false" outlineLevel="0" collapsed="false">
      <c r="A1006" s="41" t="n">
        <v>46266</v>
      </c>
      <c r="B1006" s="42" t="n">
        <f aca="false">DATE(YEAR(A1006),MONTH(A1006),1)</f>
        <v>46266</v>
      </c>
      <c r="C1006" s="3" t="s">
        <v>61</v>
      </c>
      <c r="D1006" s="3" t="s">
        <v>62</v>
      </c>
      <c r="E1006" s="3" t="s">
        <v>29</v>
      </c>
      <c r="F1006" s="3" t="n">
        <v>8</v>
      </c>
      <c r="G1006" s="36" t="n">
        <v>1.9</v>
      </c>
      <c r="H1006" s="36" t="n">
        <f aca="false">F1006*G1006</f>
        <v>15.2</v>
      </c>
      <c r="I1006" s="36" t="n">
        <f aca="false">INDEX(Inventory!$D$2:$D$17,MATCH(C1006,Inventory!$A$2:$A$17,0))</f>
        <v>1.1</v>
      </c>
      <c r="J1006" s="36" t="n">
        <f aca="false">F1006*I1006</f>
        <v>8.8</v>
      </c>
      <c r="K1006" s="36" t="n">
        <f aca="false">H1006-J1006</f>
        <v>6.4</v>
      </c>
    </row>
    <row r="1007" customFormat="false" ht="15" hidden="false" customHeight="false" outlineLevel="0" collapsed="false">
      <c r="A1007" s="41" t="n">
        <v>46266</v>
      </c>
      <c r="B1007" s="42" t="n">
        <f aca="false">DATE(YEAR(A1007),MONTH(A1007),1)</f>
        <v>46266</v>
      </c>
      <c r="C1007" s="3" t="s">
        <v>45</v>
      </c>
      <c r="D1007" s="3" t="s">
        <v>46</v>
      </c>
      <c r="E1007" s="3" t="s">
        <v>29</v>
      </c>
      <c r="F1007" s="3" t="n">
        <v>6</v>
      </c>
      <c r="G1007" s="36" t="n">
        <v>5.2</v>
      </c>
      <c r="H1007" s="36" t="n">
        <f aca="false">F1007*G1007</f>
        <v>31.2</v>
      </c>
      <c r="I1007" s="36" t="n">
        <f aca="false">INDEX(Inventory!$D$2:$D$17,MATCH(C1007,Inventory!$A$2:$A$17,0))</f>
        <v>3.5</v>
      </c>
      <c r="J1007" s="36" t="n">
        <f aca="false">F1007*I1007</f>
        <v>21</v>
      </c>
      <c r="K1007" s="36" t="n">
        <f aca="false">H1007-J1007</f>
        <v>10.2</v>
      </c>
    </row>
    <row r="1008" customFormat="false" ht="15" hidden="false" customHeight="false" outlineLevel="0" collapsed="false">
      <c r="A1008" s="41" t="n">
        <v>46266</v>
      </c>
      <c r="B1008" s="42" t="n">
        <f aca="false">DATE(YEAR(A1008),MONTH(A1008),1)</f>
        <v>46266</v>
      </c>
      <c r="C1008" s="3" t="s">
        <v>65</v>
      </c>
      <c r="D1008" s="3" t="s">
        <v>66</v>
      </c>
      <c r="E1008" s="3" t="s">
        <v>29</v>
      </c>
      <c r="F1008" s="3" t="n">
        <v>9</v>
      </c>
      <c r="G1008" s="36" t="n">
        <v>1.5</v>
      </c>
      <c r="H1008" s="36" t="n">
        <f aca="false">F1008*G1008</f>
        <v>13.5</v>
      </c>
      <c r="I1008" s="36" t="n">
        <f aca="false">INDEX(Inventory!$D$2:$D$17,MATCH(C1008,Inventory!$A$2:$A$17,0))</f>
        <v>0.9</v>
      </c>
      <c r="J1008" s="36" t="n">
        <f aca="false">F1008*I1008</f>
        <v>8.1</v>
      </c>
      <c r="K1008" s="36" t="n">
        <f aca="false">H1008-J1008</f>
        <v>5.4</v>
      </c>
    </row>
    <row r="1009" customFormat="false" ht="15" hidden="false" customHeight="false" outlineLevel="0" collapsed="false">
      <c r="A1009" s="41" t="n">
        <v>46266</v>
      </c>
      <c r="B1009" s="42" t="n">
        <f aca="false">DATE(YEAR(A1009),MONTH(A1009),1)</f>
        <v>46266</v>
      </c>
      <c r="C1009" s="3" t="s">
        <v>55</v>
      </c>
      <c r="D1009" s="3" t="s">
        <v>56</v>
      </c>
      <c r="E1009" s="3" t="s">
        <v>29</v>
      </c>
      <c r="F1009" s="3" t="n">
        <v>8</v>
      </c>
      <c r="G1009" s="36" t="n">
        <v>2.5</v>
      </c>
      <c r="H1009" s="36" t="n">
        <f aca="false">F1009*G1009</f>
        <v>20</v>
      </c>
      <c r="I1009" s="36" t="n">
        <f aca="false">INDEX(Inventory!$D$2:$D$17,MATCH(C1009,Inventory!$A$2:$A$17,0))</f>
        <v>1.6</v>
      </c>
      <c r="J1009" s="36" t="n">
        <f aca="false">F1009*I1009</f>
        <v>12.8</v>
      </c>
      <c r="K1009" s="36" t="n">
        <f aca="false">H1009-J1009</f>
        <v>7.2</v>
      </c>
    </row>
    <row r="1010" customFormat="false" ht="15" hidden="false" customHeight="false" outlineLevel="0" collapsed="false">
      <c r="A1010" s="41" t="n">
        <v>46267</v>
      </c>
      <c r="B1010" s="42" t="n">
        <f aca="false">DATE(YEAR(A1010),MONTH(A1010),1)</f>
        <v>46266</v>
      </c>
      <c r="C1010" s="3" t="s">
        <v>39</v>
      </c>
      <c r="D1010" s="3" t="s">
        <v>40</v>
      </c>
      <c r="E1010" s="3" t="s">
        <v>27</v>
      </c>
      <c r="F1010" s="3" t="n">
        <v>32</v>
      </c>
      <c r="G1010" s="36" t="n">
        <v>1</v>
      </c>
      <c r="H1010" s="36" t="n">
        <f aca="false">F1010*G1010</f>
        <v>32</v>
      </c>
      <c r="I1010" s="36" t="n">
        <f aca="false">INDEX(Inventory!$D$2:$D$17,MATCH(C1010,Inventory!$A$2:$A$17,0))</f>
        <v>0.6</v>
      </c>
      <c r="J1010" s="36" t="n">
        <f aca="false">F1010*I1010</f>
        <v>19.2</v>
      </c>
      <c r="K1010" s="36" t="n">
        <f aca="false">H1010-J1010</f>
        <v>12.8</v>
      </c>
    </row>
    <row r="1011" customFormat="false" ht="15" hidden="false" customHeight="false" outlineLevel="0" collapsed="false">
      <c r="A1011" s="41" t="n">
        <v>46267</v>
      </c>
      <c r="B1011" s="42" t="n">
        <f aca="false">DATE(YEAR(A1011),MONTH(A1011),1)</f>
        <v>46266</v>
      </c>
      <c r="C1011" s="3" t="s">
        <v>53</v>
      </c>
      <c r="D1011" s="3" t="s">
        <v>54</v>
      </c>
      <c r="E1011" s="3" t="s">
        <v>27</v>
      </c>
      <c r="F1011" s="3" t="n">
        <v>15</v>
      </c>
      <c r="G1011" s="36" t="n">
        <v>0.95</v>
      </c>
      <c r="H1011" s="36" t="n">
        <f aca="false">F1011*G1011</f>
        <v>14.25</v>
      </c>
      <c r="I1011" s="36" t="n">
        <f aca="false">INDEX(Inventory!$D$2:$D$17,MATCH(C1011,Inventory!$A$2:$A$17,0))</f>
        <v>0.55</v>
      </c>
      <c r="J1011" s="36" t="n">
        <f aca="false">F1011*I1011</f>
        <v>8.25</v>
      </c>
      <c r="K1011" s="36" t="n">
        <f aca="false">H1011-J1011</f>
        <v>6</v>
      </c>
    </row>
    <row r="1012" customFormat="false" ht="15" hidden="false" customHeight="false" outlineLevel="0" collapsed="false">
      <c r="A1012" s="41" t="n">
        <v>46267</v>
      </c>
      <c r="B1012" s="42" t="n">
        <f aca="false">DATE(YEAR(A1012),MONTH(A1012),1)</f>
        <v>46266</v>
      </c>
      <c r="C1012" s="3" t="s">
        <v>59</v>
      </c>
      <c r="D1012" s="3" t="s">
        <v>60</v>
      </c>
      <c r="E1012" s="3" t="s">
        <v>27</v>
      </c>
      <c r="F1012" s="3" t="n">
        <v>27</v>
      </c>
      <c r="G1012" s="36" t="n">
        <v>0.6</v>
      </c>
      <c r="H1012" s="36" t="n">
        <f aca="false">F1012*G1012</f>
        <v>16.2</v>
      </c>
      <c r="I1012" s="36" t="n">
        <f aca="false">INDEX(Inventory!$D$2:$D$17,MATCH(C1012,Inventory!$A$2:$A$17,0))</f>
        <v>0.3</v>
      </c>
      <c r="J1012" s="36" t="n">
        <f aca="false">F1012*I1012</f>
        <v>8.1</v>
      </c>
      <c r="K1012" s="36" t="n">
        <f aca="false">H1012-J1012</f>
        <v>8.1</v>
      </c>
    </row>
    <row r="1013" customFormat="false" ht="15" hidden="false" customHeight="false" outlineLevel="0" collapsed="false">
      <c r="A1013" s="41" t="n">
        <v>46267</v>
      </c>
      <c r="B1013" s="42" t="n">
        <f aca="false">DATE(YEAR(A1013),MONTH(A1013),1)</f>
        <v>46266</v>
      </c>
      <c r="C1013" s="3" t="s">
        <v>57</v>
      </c>
      <c r="D1013" s="3" t="s">
        <v>58</v>
      </c>
      <c r="E1013" s="3" t="s">
        <v>27</v>
      </c>
      <c r="F1013" s="3" t="n">
        <v>9</v>
      </c>
      <c r="G1013" s="36" t="n">
        <v>1.5</v>
      </c>
      <c r="H1013" s="36" t="n">
        <f aca="false">F1013*G1013</f>
        <v>13.5</v>
      </c>
      <c r="I1013" s="36" t="n">
        <f aca="false">INDEX(Inventory!$D$2:$D$17,MATCH(C1013,Inventory!$A$2:$A$17,0))</f>
        <v>0.9</v>
      </c>
      <c r="J1013" s="36" t="n">
        <f aca="false">F1013*I1013</f>
        <v>8.1</v>
      </c>
      <c r="K1013" s="36" t="n">
        <f aca="false">H1013-J1013</f>
        <v>5.4</v>
      </c>
    </row>
    <row r="1014" customFormat="false" ht="15" hidden="false" customHeight="false" outlineLevel="0" collapsed="false">
      <c r="A1014" s="41" t="n">
        <v>46267</v>
      </c>
      <c r="B1014" s="42" t="n">
        <f aca="false">DATE(YEAR(A1014),MONTH(A1014),1)</f>
        <v>46266</v>
      </c>
      <c r="C1014" s="3" t="s">
        <v>41</v>
      </c>
      <c r="D1014" s="3" t="s">
        <v>42</v>
      </c>
      <c r="E1014" s="3" t="s">
        <v>28</v>
      </c>
      <c r="F1014" s="3" t="n">
        <v>21</v>
      </c>
      <c r="G1014" s="36" t="n">
        <v>1.3</v>
      </c>
      <c r="H1014" s="36" t="n">
        <f aca="false">F1014*G1014</f>
        <v>27.3</v>
      </c>
      <c r="I1014" s="36" t="n">
        <f aca="false">INDEX(Inventory!$D$2:$D$17,MATCH(C1014,Inventory!$A$2:$A$17,0))</f>
        <v>0.8</v>
      </c>
      <c r="J1014" s="36" t="n">
        <f aca="false">F1014*I1014</f>
        <v>16.8</v>
      </c>
      <c r="K1014" s="36" t="n">
        <f aca="false">H1014-J1014</f>
        <v>10.5</v>
      </c>
    </row>
    <row r="1015" customFormat="false" ht="15" hidden="false" customHeight="false" outlineLevel="0" collapsed="false">
      <c r="A1015" s="41" t="n">
        <v>46267</v>
      </c>
      <c r="B1015" s="42" t="n">
        <f aca="false">DATE(YEAR(A1015),MONTH(A1015),1)</f>
        <v>46266</v>
      </c>
      <c r="C1015" s="3" t="s">
        <v>63</v>
      </c>
      <c r="D1015" s="3" t="s">
        <v>64</v>
      </c>
      <c r="E1015" s="3" t="s">
        <v>28</v>
      </c>
      <c r="F1015" s="3" t="n">
        <v>15</v>
      </c>
      <c r="G1015" s="36" t="n">
        <v>0.9</v>
      </c>
      <c r="H1015" s="36" t="n">
        <f aca="false">F1015*G1015</f>
        <v>13.5</v>
      </c>
      <c r="I1015" s="36" t="n">
        <f aca="false">INDEX(Inventory!$D$2:$D$17,MATCH(C1015,Inventory!$A$2:$A$17,0))</f>
        <v>0.5</v>
      </c>
      <c r="J1015" s="36" t="n">
        <f aca="false">F1015*I1015</f>
        <v>7.5</v>
      </c>
      <c r="K1015" s="36" t="n">
        <f aca="false">H1015-J1015</f>
        <v>6</v>
      </c>
    </row>
    <row r="1016" customFormat="false" ht="15" hidden="false" customHeight="false" outlineLevel="0" collapsed="false">
      <c r="A1016" s="41" t="n">
        <v>46267</v>
      </c>
      <c r="B1016" s="42" t="n">
        <f aca="false">DATE(YEAR(A1016),MONTH(A1016),1)</f>
        <v>46266</v>
      </c>
      <c r="C1016" s="3" t="s">
        <v>49</v>
      </c>
      <c r="D1016" s="3" t="s">
        <v>50</v>
      </c>
      <c r="E1016" s="3" t="s">
        <v>28</v>
      </c>
      <c r="F1016" s="3" t="n">
        <v>18</v>
      </c>
      <c r="G1016" s="36" t="n">
        <v>1.2</v>
      </c>
      <c r="H1016" s="36" t="n">
        <f aca="false">F1016*G1016</f>
        <v>21.6</v>
      </c>
      <c r="I1016" s="36" t="n">
        <f aca="false">INDEX(Inventory!$D$2:$D$17,MATCH(C1016,Inventory!$A$2:$A$17,0))</f>
        <v>0.7</v>
      </c>
      <c r="J1016" s="36" t="n">
        <f aca="false">F1016*I1016</f>
        <v>12.6</v>
      </c>
      <c r="K1016" s="36" t="n">
        <f aca="false">H1016-J1016</f>
        <v>9</v>
      </c>
    </row>
    <row r="1017" customFormat="false" ht="15" hidden="false" customHeight="false" outlineLevel="0" collapsed="false">
      <c r="A1017" s="41" t="n">
        <v>46267</v>
      </c>
      <c r="B1017" s="42" t="n">
        <f aca="false">DATE(YEAR(A1017),MONTH(A1017),1)</f>
        <v>46266</v>
      </c>
      <c r="C1017" s="3" t="s">
        <v>51</v>
      </c>
      <c r="D1017" s="3" t="s">
        <v>52</v>
      </c>
      <c r="E1017" s="3" t="s">
        <v>28</v>
      </c>
      <c r="F1017" s="3" t="n">
        <v>20</v>
      </c>
      <c r="G1017" s="36" t="n">
        <v>0.85</v>
      </c>
      <c r="H1017" s="36" t="n">
        <f aca="false">F1017*G1017</f>
        <v>17</v>
      </c>
      <c r="I1017" s="36" t="n">
        <f aca="false">INDEX(Inventory!$D$2:$D$17,MATCH(C1017,Inventory!$A$2:$A$17,0))</f>
        <v>0.45</v>
      </c>
      <c r="J1017" s="36" t="n">
        <f aca="false">F1017*I1017</f>
        <v>9</v>
      </c>
      <c r="K1017" s="36" t="n">
        <f aca="false">H1017-J1017</f>
        <v>8</v>
      </c>
    </row>
    <row r="1018" customFormat="false" ht="15" hidden="false" customHeight="false" outlineLevel="0" collapsed="false">
      <c r="A1018" s="41" t="n">
        <v>46267</v>
      </c>
      <c r="B1018" s="42" t="n">
        <f aca="false">DATE(YEAR(A1018),MONTH(A1018),1)</f>
        <v>46266</v>
      </c>
      <c r="C1018" s="3" t="s">
        <v>37</v>
      </c>
      <c r="D1018" s="3" t="s">
        <v>38</v>
      </c>
      <c r="E1018" s="3" t="s">
        <v>26</v>
      </c>
      <c r="F1018" s="3" t="n">
        <v>31</v>
      </c>
      <c r="G1018" s="36" t="n">
        <v>1.2</v>
      </c>
      <c r="H1018" s="36" t="n">
        <f aca="false">F1018*G1018</f>
        <v>37.2</v>
      </c>
      <c r="I1018" s="36" t="n">
        <f aca="false">INDEX(Inventory!$D$2:$D$17,MATCH(C1018,Inventory!$A$2:$A$17,0))</f>
        <v>0.85</v>
      </c>
      <c r="J1018" s="36" t="n">
        <f aca="false">F1018*I1018</f>
        <v>26.35</v>
      </c>
      <c r="K1018" s="36" t="n">
        <f aca="false">H1018-J1018</f>
        <v>10.85</v>
      </c>
    </row>
    <row r="1019" customFormat="false" ht="15" hidden="false" customHeight="false" outlineLevel="0" collapsed="false">
      <c r="A1019" s="41" t="n">
        <v>46267</v>
      </c>
      <c r="B1019" s="42" t="n">
        <f aca="false">DATE(YEAR(A1019),MONTH(A1019),1)</f>
        <v>46266</v>
      </c>
      <c r="C1019" s="3" t="s">
        <v>47</v>
      </c>
      <c r="D1019" s="3" t="s">
        <v>48</v>
      </c>
      <c r="E1019" s="3" t="s">
        <v>26</v>
      </c>
      <c r="F1019" s="3" t="n">
        <v>13</v>
      </c>
      <c r="G1019" s="36" t="n">
        <v>2.2</v>
      </c>
      <c r="H1019" s="36" t="n">
        <f aca="false">F1019*G1019</f>
        <v>28.6</v>
      </c>
      <c r="I1019" s="36" t="n">
        <f aca="false">INDEX(Inventory!$D$2:$D$17,MATCH(C1019,Inventory!$A$2:$A$17,0))</f>
        <v>1.4</v>
      </c>
      <c r="J1019" s="36" t="n">
        <f aca="false">F1019*I1019</f>
        <v>18.2</v>
      </c>
      <c r="K1019" s="36" t="n">
        <f aca="false">H1019-J1019</f>
        <v>10.4</v>
      </c>
    </row>
    <row r="1020" customFormat="false" ht="15" hidden="false" customHeight="false" outlineLevel="0" collapsed="false">
      <c r="A1020" s="41" t="n">
        <v>46267</v>
      </c>
      <c r="B1020" s="42" t="n">
        <f aca="false">DATE(YEAR(A1020),MONTH(A1020),1)</f>
        <v>46266</v>
      </c>
      <c r="C1020" s="3" t="s">
        <v>43</v>
      </c>
      <c r="D1020" s="3" t="s">
        <v>44</v>
      </c>
      <c r="E1020" s="3" t="s">
        <v>26</v>
      </c>
      <c r="F1020" s="3" t="n">
        <v>10</v>
      </c>
      <c r="G1020" s="36" t="n">
        <v>3.8</v>
      </c>
      <c r="H1020" s="36" t="n">
        <f aca="false">F1020*G1020</f>
        <v>38</v>
      </c>
      <c r="I1020" s="36" t="n">
        <f aca="false">INDEX(Inventory!$D$2:$D$17,MATCH(C1020,Inventory!$A$2:$A$17,0))</f>
        <v>2.6</v>
      </c>
      <c r="J1020" s="36" t="n">
        <f aca="false">F1020*I1020</f>
        <v>26</v>
      </c>
      <c r="K1020" s="36" t="n">
        <f aca="false">H1020-J1020</f>
        <v>12</v>
      </c>
    </row>
    <row r="1021" customFormat="false" ht="15" hidden="false" customHeight="false" outlineLevel="0" collapsed="false">
      <c r="A1021" s="41" t="n">
        <v>46267</v>
      </c>
      <c r="B1021" s="42" t="n">
        <f aca="false">DATE(YEAR(A1021),MONTH(A1021),1)</f>
        <v>46266</v>
      </c>
      <c r="C1021" s="3" t="s">
        <v>67</v>
      </c>
      <c r="D1021" s="3" t="s">
        <v>68</v>
      </c>
      <c r="E1021" s="3" t="s">
        <v>26</v>
      </c>
      <c r="F1021" s="3" t="n">
        <v>8</v>
      </c>
      <c r="G1021" s="36" t="n">
        <v>1.9</v>
      </c>
      <c r="H1021" s="36" t="n">
        <f aca="false">F1021*G1021</f>
        <v>15.2</v>
      </c>
      <c r="I1021" s="36" t="n">
        <f aca="false">INDEX(Inventory!$D$2:$D$17,MATCH(C1021,Inventory!$A$2:$A$17,0))</f>
        <v>1.3</v>
      </c>
      <c r="J1021" s="36" t="n">
        <f aca="false">F1021*I1021</f>
        <v>10.4</v>
      </c>
      <c r="K1021" s="36" t="n">
        <f aca="false">H1021-J1021</f>
        <v>4.8</v>
      </c>
    </row>
    <row r="1022" customFormat="false" ht="15" hidden="false" customHeight="false" outlineLevel="0" collapsed="false">
      <c r="A1022" s="41" t="n">
        <v>46267</v>
      </c>
      <c r="B1022" s="42" t="n">
        <f aca="false">DATE(YEAR(A1022),MONTH(A1022),1)</f>
        <v>46266</v>
      </c>
      <c r="C1022" s="3" t="s">
        <v>61</v>
      </c>
      <c r="D1022" s="3" t="s">
        <v>62</v>
      </c>
      <c r="E1022" s="3" t="s">
        <v>29</v>
      </c>
      <c r="F1022" s="3" t="n">
        <v>10</v>
      </c>
      <c r="G1022" s="36" t="n">
        <v>1.9</v>
      </c>
      <c r="H1022" s="36" t="n">
        <f aca="false">F1022*G1022</f>
        <v>19</v>
      </c>
      <c r="I1022" s="36" t="n">
        <f aca="false">INDEX(Inventory!$D$2:$D$17,MATCH(C1022,Inventory!$A$2:$A$17,0))</f>
        <v>1.1</v>
      </c>
      <c r="J1022" s="36" t="n">
        <f aca="false">F1022*I1022</f>
        <v>11</v>
      </c>
      <c r="K1022" s="36" t="n">
        <f aca="false">H1022-J1022</f>
        <v>8</v>
      </c>
    </row>
    <row r="1023" customFormat="false" ht="15" hidden="false" customHeight="false" outlineLevel="0" collapsed="false">
      <c r="A1023" s="41" t="n">
        <v>46267</v>
      </c>
      <c r="B1023" s="42" t="n">
        <f aca="false">DATE(YEAR(A1023),MONTH(A1023),1)</f>
        <v>46266</v>
      </c>
      <c r="C1023" s="3" t="s">
        <v>45</v>
      </c>
      <c r="D1023" s="3" t="s">
        <v>46</v>
      </c>
      <c r="E1023" s="3" t="s">
        <v>29</v>
      </c>
      <c r="F1023" s="3" t="n">
        <v>6</v>
      </c>
      <c r="G1023" s="36" t="n">
        <v>5.2</v>
      </c>
      <c r="H1023" s="36" t="n">
        <f aca="false">F1023*G1023</f>
        <v>31.2</v>
      </c>
      <c r="I1023" s="36" t="n">
        <f aca="false">INDEX(Inventory!$D$2:$D$17,MATCH(C1023,Inventory!$A$2:$A$17,0))</f>
        <v>3.5</v>
      </c>
      <c r="J1023" s="36" t="n">
        <f aca="false">F1023*I1023</f>
        <v>21</v>
      </c>
      <c r="K1023" s="36" t="n">
        <f aca="false">H1023-J1023</f>
        <v>10.2</v>
      </c>
    </row>
    <row r="1024" customFormat="false" ht="15" hidden="false" customHeight="false" outlineLevel="0" collapsed="false">
      <c r="A1024" s="41" t="n">
        <v>46267</v>
      </c>
      <c r="B1024" s="42" t="n">
        <f aca="false">DATE(YEAR(A1024),MONTH(A1024),1)</f>
        <v>46266</v>
      </c>
      <c r="C1024" s="3" t="s">
        <v>65</v>
      </c>
      <c r="D1024" s="3" t="s">
        <v>66</v>
      </c>
      <c r="E1024" s="3" t="s">
        <v>29</v>
      </c>
      <c r="F1024" s="3" t="n">
        <v>10</v>
      </c>
      <c r="G1024" s="36" t="n">
        <v>1.5</v>
      </c>
      <c r="H1024" s="36" t="n">
        <f aca="false">F1024*G1024</f>
        <v>15</v>
      </c>
      <c r="I1024" s="36" t="n">
        <f aca="false">INDEX(Inventory!$D$2:$D$17,MATCH(C1024,Inventory!$A$2:$A$17,0))</f>
        <v>0.9</v>
      </c>
      <c r="J1024" s="36" t="n">
        <f aca="false">F1024*I1024</f>
        <v>9</v>
      </c>
      <c r="K1024" s="36" t="n">
        <f aca="false">H1024-J1024</f>
        <v>6</v>
      </c>
    </row>
    <row r="1025" customFormat="false" ht="15" hidden="false" customHeight="false" outlineLevel="0" collapsed="false">
      <c r="A1025" s="41" t="n">
        <v>46267</v>
      </c>
      <c r="B1025" s="42" t="n">
        <f aca="false">DATE(YEAR(A1025),MONTH(A1025),1)</f>
        <v>46266</v>
      </c>
      <c r="C1025" s="3" t="s">
        <v>55</v>
      </c>
      <c r="D1025" s="3" t="s">
        <v>56</v>
      </c>
      <c r="E1025" s="3" t="s">
        <v>29</v>
      </c>
      <c r="F1025" s="3" t="n">
        <v>6</v>
      </c>
      <c r="G1025" s="36" t="n">
        <v>2.5</v>
      </c>
      <c r="H1025" s="36" t="n">
        <f aca="false">F1025*G1025</f>
        <v>15</v>
      </c>
      <c r="I1025" s="36" t="n">
        <f aca="false">INDEX(Inventory!$D$2:$D$17,MATCH(C1025,Inventory!$A$2:$A$17,0))</f>
        <v>1.6</v>
      </c>
      <c r="J1025" s="36" t="n">
        <f aca="false">F1025*I1025</f>
        <v>9.6</v>
      </c>
      <c r="K1025" s="36" t="n">
        <f aca="false">H1025-J1025</f>
        <v>5.4</v>
      </c>
    </row>
    <row r="1026" customFormat="false" ht="15" hidden="false" customHeight="false" outlineLevel="0" collapsed="false">
      <c r="A1026" s="41" t="n">
        <v>46268</v>
      </c>
      <c r="B1026" s="42" t="n">
        <f aca="false">DATE(YEAR(A1026),MONTH(A1026),1)</f>
        <v>46266</v>
      </c>
      <c r="C1026" s="3" t="s">
        <v>39</v>
      </c>
      <c r="D1026" s="3" t="s">
        <v>40</v>
      </c>
      <c r="E1026" s="3" t="s">
        <v>27</v>
      </c>
      <c r="F1026" s="3" t="n">
        <v>36</v>
      </c>
      <c r="G1026" s="36" t="n">
        <v>1</v>
      </c>
      <c r="H1026" s="36" t="n">
        <f aca="false">F1026*G1026</f>
        <v>36</v>
      </c>
      <c r="I1026" s="36" t="n">
        <f aca="false">INDEX(Inventory!$D$2:$D$17,MATCH(C1026,Inventory!$A$2:$A$17,0))</f>
        <v>0.6</v>
      </c>
      <c r="J1026" s="36" t="n">
        <f aca="false">F1026*I1026</f>
        <v>21.6</v>
      </c>
      <c r="K1026" s="36" t="n">
        <f aca="false">H1026-J1026</f>
        <v>14.4</v>
      </c>
    </row>
    <row r="1027" customFormat="false" ht="15" hidden="false" customHeight="false" outlineLevel="0" collapsed="false">
      <c r="A1027" s="41" t="n">
        <v>46268</v>
      </c>
      <c r="B1027" s="42" t="n">
        <f aca="false">DATE(YEAR(A1027),MONTH(A1027),1)</f>
        <v>46266</v>
      </c>
      <c r="C1027" s="3" t="s">
        <v>53</v>
      </c>
      <c r="D1027" s="3" t="s">
        <v>54</v>
      </c>
      <c r="E1027" s="3" t="s">
        <v>27</v>
      </c>
      <c r="F1027" s="3" t="n">
        <v>27</v>
      </c>
      <c r="G1027" s="36" t="n">
        <v>0.95</v>
      </c>
      <c r="H1027" s="36" t="n">
        <f aca="false">F1027*G1027</f>
        <v>25.65</v>
      </c>
      <c r="I1027" s="36" t="n">
        <f aca="false">INDEX(Inventory!$D$2:$D$17,MATCH(C1027,Inventory!$A$2:$A$17,0))</f>
        <v>0.55</v>
      </c>
      <c r="J1027" s="36" t="n">
        <f aca="false">F1027*I1027</f>
        <v>14.85</v>
      </c>
      <c r="K1027" s="36" t="n">
        <f aca="false">H1027-J1027</f>
        <v>10.8</v>
      </c>
    </row>
    <row r="1028" customFormat="false" ht="15" hidden="false" customHeight="false" outlineLevel="0" collapsed="false">
      <c r="A1028" s="41" t="n">
        <v>46268</v>
      </c>
      <c r="B1028" s="42" t="n">
        <f aca="false">DATE(YEAR(A1028),MONTH(A1028),1)</f>
        <v>46266</v>
      </c>
      <c r="C1028" s="3" t="s">
        <v>59</v>
      </c>
      <c r="D1028" s="3" t="s">
        <v>60</v>
      </c>
      <c r="E1028" s="3" t="s">
        <v>27</v>
      </c>
      <c r="F1028" s="3" t="n">
        <v>47</v>
      </c>
      <c r="G1028" s="36" t="n">
        <v>0.6</v>
      </c>
      <c r="H1028" s="36" t="n">
        <f aca="false">F1028*G1028</f>
        <v>28.2</v>
      </c>
      <c r="I1028" s="36" t="n">
        <f aca="false">INDEX(Inventory!$D$2:$D$17,MATCH(C1028,Inventory!$A$2:$A$17,0))</f>
        <v>0.3</v>
      </c>
      <c r="J1028" s="36" t="n">
        <f aca="false">F1028*I1028</f>
        <v>14.1</v>
      </c>
      <c r="K1028" s="36" t="n">
        <f aca="false">H1028-J1028</f>
        <v>14.1</v>
      </c>
    </row>
    <row r="1029" customFormat="false" ht="15" hidden="false" customHeight="false" outlineLevel="0" collapsed="false">
      <c r="A1029" s="41" t="n">
        <v>46268</v>
      </c>
      <c r="B1029" s="42" t="n">
        <f aca="false">DATE(YEAR(A1029),MONTH(A1029),1)</f>
        <v>46266</v>
      </c>
      <c r="C1029" s="3" t="s">
        <v>57</v>
      </c>
      <c r="D1029" s="3" t="s">
        <v>58</v>
      </c>
      <c r="E1029" s="3" t="s">
        <v>27</v>
      </c>
      <c r="F1029" s="3" t="n">
        <v>13</v>
      </c>
      <c r="G1029" s="36" t="n">
        <v>1.5</v>
      </c>
      <c r="H1029" s="36" t="n">
        <f aca="false">F1029*G1029</f>
        <v>19.5</v>
      </c>
      <c r="I1029" s="36" t="n">
        <f aca="false">INDEX(Inventory!$D$2:$D$17,MATCH(C1029,Inventory!$A$2:$A$17,0))</f>
        <v>0.9</v>
      </c>
      <c r="J1029" s="36" t="n">
        <f aca="false">F1029*I1029</f>
        <v>11.7</v>
      </c>
      <c r="K1029" s="36" t="n">
        <f aca="false">H1029-J1029</f>
        <v>7.8</v>
      </c>
    </row>
    <row r="1030" customFormat="false" ht="15" hidden="false" customHeight="false" outlineLevel="0" collapsed="false">
      <c r="A1030" s="41" t="n">
        <v>46268</v>
      </c>
      <c r="B1030" s="42" t="n">
        <f aca="false">DATE(YEAR(A1030),MONTH(A1030),1)</f>
        <v>46266</v>
      </c>
      <c r="C1030" s="3" t="s">
        <v>41</v>
      </c>
      <c r="D1030" s="3" t="s">
        <v>42</v>
      </c>
      <c r="E1030" s="3" t="s">
        <v>28</v>
      </c>
      <c r="F1030" s="3" t="n">
        <v>23</v>
      </c>
      <c r="G1030" s="36" t="n">
        <v>1.3</v>
      </c>
      <c r="H1030" s="36" t="n">
        <f aca="false">F1030*G1030</f>
        <v>29.9</v>
      </c>
      <c r="I1030" s="36" t="n">
        <f aca="false">INDEX(Inventory!$D$2:$D$17,MATCH(C1030,Inventory!$A$2:$A$17,0))</f>
        <v>0.8</v>
      </c>
      <c r="J1030" s="36" t="n">
        <f aca="false">F1030*I1030</f>
        <v>18.4</v>
      </c>
      <c r="K1030" s="36" t="n">
        <f aca="false">H1030-J1030</f>
        <v>11.5</v>
      </c>
    </row>
    <row r="1031" customFormat="false" ht="15" hidden="false" customHeight="false" outlineLevel="0" collapsed="false">
      <c r="A1031" s="41" t="n">
        <v>46268</v>
      </c>
      <c r="B1031" s="42" t="n">
        <f aca="false">DATE(YEAR(A1031),MONTH(A1031),1)</f>
        <v>46266</v>
      </c>
      <c r="C1031" s="3" t="s">
        <v>63</v>
      </c>
      <c r="D1031" s="3" t="s">
        <v>64</v>
      </c>
      <c r="E1031" s="3" t="s">
        <v>28</v>
      </c>
      <c r="F1031" s="3" t="n">
        <v>17</v>
      </c>
      <c r="G1031" s="36" t="n">
        <v>0.9</v>
      </c>
      <c r="H1031" s="36" t="n">
        <f aca="false">F1031*G1031</f>
        <v>15.3</v>
      </c>
      <c r="I1031" s="36" t="n">
        <f aca="false">INDEX(Inventory!$D$2:$D$17,MATCH(C1031,Inventory!$A$2:$A$17,0))</f>
        <v>0.5</v>
      </c>
      <c r="J1031" s="36" t="n">
        <f aca="false">F1031*I1031</f>
        <v>8.5</v>
      </c>
      <c r="K1031" s="36" t="n">
        <f aca="false">H1031-J1031</f>
        <v>6.8</v>
      </c>
    </row>
    <row r="1032" customFormat="false" ht="15" hidden="false" customHeight="false" outlineLevel="0" collapsed="false">
      <c r="A1032" s="41" t="n">
        <v>46268</v>
      </c>
      <c r="B1032" s="42" t="n">
        <f aca="false">DATE(YEAR(A1032),MONTH(A1032),1)</f>
        <v>46266</v>
      </c>
      <c r="C1032" s="3" t="s">
        <v>49</v>
      </c>
      <c r="D1032" s="3" t="s">
        <v>50</v>
      </c>
      <c r="E1032" s="3" t="s">
        <v>28</v>
      </c>
      <c r="F1032" s="3" t="n">
        <v>17</v>
      </c>
      <c r="G1032" s="36" t="n">
        <v>1.2</v>
      </c>
      <c r="H1032" s="36" t="n">
        <f aca="false">F1032*G1032</f>
        <v>20.4</v>
      </c>
      <c r="I1032" s="36" t="n">
        <f aca="false">INDEX(Inventory!$D$2:$D$17,MATCH(C1032,Inventory!$A$2:$A$17,0))</f>
        <v>0.7</v>
      </c>
      <c r="J1032" s="36" t="n">
        <f aca="false">F1032*I1032</f>
        <v>11.9</v>
      </c>
      <c r="K1032" s="36" t="n">
        <f aca="false">H1032-J1032</f>
        <v>8.5</v>
      </c>
    </row>
    <row r="1033" customFormat="false" ht="15" hidden="false" customHeight="false" outlineLevel="0" collapsed="false">
      <c r="A1033" s="41" t="n">
        <v>46268</v>
      </c>
      <c r="B1033" s="42" t="n">
        <f aca="false">DATE(YEAR(A1033),MONTH(A1033),1)</f>
        <v>46266</v>
      </c>
      <c r="C1033" s="3" t="s">
        <v>51</v>
      </c>
      <c r="D1033" s="3" t="s">
        <v>52</v>
      </c>
      <c r="E1033" s="3" t="s">
        <v>28</v>
      </c>
      <c r="F1033" s="3" t="n">
        <v>27</v>
      </c>
      <c r="G1033" s="36" t="n">
        <v>0.85</v>
      </c>
      <c r="H1033" s="36" t="n">
        <f aca="false">F1033*G1033</f>
        <v>22.95</v>
      </c>
      <c r="I1033" s="36" t="n">
        <f aca="false">INDEX(Inventory!$D$2:$D$17,MATCH(C1033,Inventory!$A$2:$A$17,0))</f>
        <v>0.45</v>
      </c>
      <c r="J1033" s="36" t="n">
        <f aca="false">F1033*I1033</f>
        <v>12.15</v>
      </c>
      <c r="K1033" s="36" t="n">
        <f aca="false">H1033-J1033</f>
        <v>10.8</v>
      </c>
    </row>
    <row r="1034" customFormat="false" ht="15" hidden="false" customHeight="false" outlineLevel="0" collapsed="false">
      <c r="A1034" s="41" t="n">
        <v>46268</v>
      </c>
      <c r="B1034" s="42" t="n">
        <f aca="false">DATE(YEAR(A1034),MONTH(A1034),1)</f>
        <v>46266</v>
      </c>
      <c r="C1034" s="3" t="s">
        <v>37</v>
      </c>
      <c r="D1034" s="3" t="s">
        <v>38</v>
      </c>
      <c r="E1034" s="3" t="s">
        <v>26</v>
      </c>
      <c r="F1034" s="3" t="n">
        <v>25</v>
      </c>
      <c r="G1034" s="36" t="n">
        <v>1.2</v>
      </c>
      <c r="H1034" s="36" t="n">
        <f aca="false">F1034*G1034</f>
        <v>30</v>
      </c>
      <c r="I1034" s="36" t="n">
        <f aca="false">INDEX(Inventory!$D$2:$D$17,MATCH(C1034,Inventory!$A$2:$A$17,0))</f>
        <v>0.85</v>
      </c>
      <c r="J1034" s="36" t="n">
        <f aca="false">F1034*I1034</f>
        <v>21.25</v>
      </c>
      <c r="K1034" s="36" t="n">
        <f aca="false">H1034-J1034</f>
        <v>8.75</v>
      </c>
    </row>
    <row r="1035" customFormat="false" ht="15" hidden="false" customHeight="false" outlineLevel="0" collapsed="false">
      <c r="A1035" s="41" t="n">
        <v>46268</v>
      </c>
      <c r="B1035" s="42" t="n">
        <f aca="false">DATE(YEAR(A1035),MONTH(A1035),1)</f>
        <v>46266</v>
      </c>
      <c r="C1035" s="3" t="s">
        <v>47</v>
      </c>
      <c r="D1035" s="3" t="s">
        <v>48</v>
      </c>
      <c r="E1035" s="3" t="s">
        <v>26</v>
      </c>
      <c r="F1035" s="3" t="n">
        <v>10</v>
      </c>
      <c r="G1035" s="36" t="n">
        <v>2.2</v>
      </c>
      <c r="H1035" s="36" t="n">
        <f aca="false">F1035*G1035</f>
        <v>22</v>
      </c>
      <c r="I1035" s="36" t="n">
        <f aca="false">INDEX(Inventory!$D$2:$D$17,MATCH(C1035,Inventory!$A$2:$A$17,0))</f>
        <v>1.4</v>
      </c>
      <c r="J1035" s="36" t="n">
        <f aca="false">F1035*I1035</f>
        <v>14</v>
      </c>
      <c r="K1035" s="36" t="n">
        <f aca="false">H1035-J1035</f>
        <v>8</v>
      </c>
    </row>
    <row r="1036" customFormat="false" ht="15" hidden="false" customHeight="false" outlineLevel="0" collapsed="false">
      <c r="A1036" s="41" t="n">
        <v>46268</v>
      </c>
      <c r="B1036" s="42" t="n">
        <f aca="false">DATE(YEAR(A1036),MONTH(A1036),1)</f>
        <v>46266</v>
      </c>
      <c r="C1036" s="3" t="s">
        <v>43</v>
      </c>
      <c r="D1036" s="3" t="s">
        <v>44</v>
      </c>
      <c r="E1036" s="3" t="s">
        <v>26</v>
      </c>
      <c r="F1036" s="3" t="n">
        <v>11</v>
      </c>
      <c r="G1036" s="36" t="n">
        <v>3.8</v>
      </c>
      <c r="H1036" s="36" t="n">
        <f aca="false">F1036*G1036</f>
        <v>41.8</v>
      </c>
      <c r="I1036" s="36" t="n">
        <f aca="false">INDEX(Inventory!$D$2:$D$17,MATCH(C1036,Inventory!$A$2:$A$17,0))</f>
        <v>2.6</v>
      </c>
      <c r="J1036" s="36" t="n">
        <f aca="false">F1036*I1036</f>
        <v>28.6</v>
      </c>
      <c r="K1036" s="36" t="n">
        <f aca="false">H1036-J1036</f>
        <v>13.2</v>
      </c>
    </row>
    <row r="1037" customFormat="false" ht="15" hidden="false" customHeight="false" outlineLevel="0" collapsed="false">
      <c r="A1037" s="41" t="n">
        <v>46268</v>
      </c>
      <c r="B1037" s="42" t="n">
        <f aca="false">DATE(YEAR(A1037),MONTH(A1037),1)</f>
        <v>46266</v>
      </c>
      <c r="C1037" s="3" t="s">
        <v>67</v>
      </c>
      <c r="D1037" s="3" t="s">
        <v>68</v>
      </c>
      <c r="E1037" s="3" t="s">
        <v>26</v>
      </c>
      <c r="F1037" s="3" t="n">
        <v>7</v>
      </c>
      <c r="G1037" s="36" t="n">
        <v>1.9</v>
      </c>
      <c r="H1037" s="36" t="n">
        <f aca="false">F1037*G1037</f>
        <v>13.3</v>
      </c>
      <c r="I1037" s="36" t="n">
        <f aca="false">INDEX(Inventory!$D$2:$D$17,MATCH(C1037,Inventory!$A$2:$A$17,0))</f>
        <v>1.3</v>
      </c>
      <c r="J1037" s="36" t="n">
        <f aca="false">F1037*I1037</f>
        <v>9.1</v>
      </c>
      <c r="K1037" s="36" t="n">
        <f aca="false">H1037-J1037</f>
        <v>4.2</v>
      </c>
    </row>
    <row r="1038" customFormat="false" ht="15" hidden="false" customHeight="false" outlineLevel="0" collapsed="false">
      <c r="A1038" s="41" t="n">
        <v>46268</v>
      </c>
      <c r="B1038" s="42" t="n">
        <f aca="false">DATE(YEAR(A1038),MONTH(A1038),1)</f>
        <v>46266</v>
      </c>
      <c r="C1038" s="3" t="s">
        <v>61</v>
      </c>
      <c r="D1038" s="3" t="s">
        <v>62</v>
      </c>
      <c r="E1038" s="3" t="s">
        <v>29</v>
      </c>
      <c r="F1038" s="3" t="n">
        <v>10</v>
      </c>
      <c r="G1038" s="36" t="n">
        <v>1.9</v>
      </c>
      <c r="H1038" s="36" t="n">
        <f aca="false">F1038*G1038</f>
        <v>19</v>
      </c>
      <c r="I1038" s="36" t="n">
        <f aca="false">INDEX(Inventory!$D$2:$D$17,MATCH(C1038,Inventory!$A$2:$A$17,0))</f>
        <v>1.1</v>
      </c>
      <c r="J1038" s="36" t="n">
        <f aca="false">F1038*I1038</f>
        <v>11</v>
      </c>
      <c r="K1038" s="36" t="n">
        <f aca="false">H1038-J1038</f>
        <v>8</v>
      </c>
    </row>
    <row r="1039" customFormat="false" ht="15" hidden="false" customHeight="false" outlineLevel="0" collapsed="false">
      <c r="A1039" s="41" t="n">
        <v>46268</v>
      </c>
      <c r="B1039" s="42" t="n">
        <f aca="false">DATE(YEAR(A1039),MONTH(A1039),1)</f>
        <v>46266</v>
      </c>
      <c r="C1039" s="3" t="s">
        <v>45</v>
      </c>
      <c r="D1039" s="3" t="s">
        <v>46</v>
      </c>
      <c r="E1039" s="3" t="s">
        <v>29</v>
      </c>
      <c r="F1039" s="3" t="n">
        <v>7</v>
      </c>
      <c r="G1039" s="36" t="n">
        <v>5.2</v>
      </c>
      <c r="H1039" s="36" t="n">
        <f aca="false">F1039*G1039</f>
        <v>36.4</v>
      </c>
      <c r="I1039" s="36" t="n">
        <f aca="false">INDEX(Inventory!$D$2:$D$17,MATCH(C1039,Inventory!$A$2:$A$17,0))</f>
        <v>3.5</v>
      </c>
      <c r="J1039" s="36" t="n">
        <f aca="false">F1039*I1039</f>
        <v>24.5</v>
      </c>
      <c r="K1039" s="36" t="n">
        <f aca="false">H1039-J1039</f>
        <v>11.9</v>
      </c>
    </row>
    <row r="1040" customFormat="false" ht="15" hidden="false" customHeight="false" outlineLevel="0" collapsed="false">
      <c r="A1040" s="41" t="n">
        <v>46268</v>
      </c>
      <c r="B1040" s="42" t="n">
        <f aca="false">DATE(YEAR(A1040),MONTH(A1040),1)</f>
        <v>46266</v>
      </c>
      <c r="C1040" s="3" t="s">
        <v>65</v>
      </c>
      <c r="D1040" s="3" t="s">
        <v>66</v>
      </c>
      <c r="E1040" s="3" t="s">
        <v>29</v>
      </c>
      <c r="F1040" s="3" t="n">
        <v>9</v>
      </c>
      <c r="G1040" s="36" t="n">
        <v>1.5</v>
      </c>
      <c r="H1040" s="36" t="n">
        <f aca="false">F1040*G1040</f>
        <v>13.5</v>
      </c>
      <c r="I1040" s="36" t="n">
        <f aca="false">INDEX(Inventory!$D$2:$D$17,MATCH(C1040,Inventory!$A$2:$A$17,0))</f>
        <v>0.9</v>
      </c>
      <c r="J1040" s="36" t="n">
        <f aca="false">F1040*I1040</f>
        <v>8.1</v>
      </c>
      <c r="K1040" s="36" t="n">
        <f aca="false">H1040-J1040</f>
        <v>5.4</v>
      </c>
    </row>
    <row r="1041" customFormat="false" ht="15" hidden="false" customHeight="false" outlineLevel="0" collapsed="false">
      <c r="A1041" s="41" t="n">
        <v>46268</v>
      </c>
      <c r="B1041" s="42" t="n">
        <f aca="false">DATE(YEAR(A1041),MONTH(A1041),1)</f>
        <v>46266</v>
      </c>
      <c r="C1041" s="3" t="s">
        <v>55</v>
      </c>
      <c r="D1041" s="3" t="s">
        <v>56</v>
      </c>
      <c r="E1041" s="3" t="s">
        <v>29</v>
      </c>
      <c r="F1041" s="3" t="n">
        <v>8</v>
      </c>
      <c r="G1041" s="36" t="n">
        <v>2.5</v>
      </c>
      <c r="H1041" s="36" t="n">
        <f aca="false">F1041*G1041</f>
        <v>20</v>
      </c>
      <c r="I1041" s="36" t="n">
        <f aca="false">INDEX(Inventory!$D$2:$D$17,MATCH(C1041,Inventory!$A$2:$A$17,0))</f>
        <v>1.6</v>
      </c>
      <c r="J1041" s="36" t="n">
        <f aca="false">F1041*I1041</f>
        <v>12.8</v>
      </c>
      <c r="K1041" s="36" t="n">
        <f aca="false">H1041-J1041</f>
        <v>7.2</v>
      </c>
    </row>
    <row r="1042" customFormat="false" ht="15" hidden="false" customHeight="false" outlineLevel="0" collapsed="false">
      <c r="A1042" s="41" t="n">
        <v>46269</v>
      </c>
      <c r="B1042" s="42" t="n">
        <f aca="false">DATE(YEAR(A1042),MONTH(A1042),1)</f>
        <v>46266</v>
      </c>
      <c r="C1042" s="3" t="s">
        <v>39</v>
      </c>
      <c r="D1042" s="3" t="s">
        <v>40</v>
      </c>
      <c r="E1042" s="3" t="s">
        <v>27</v>
      </c>
      <c r="F1042" s="3" t="n">
        <v>32</v>
      </c>
      <c r="G1042" s="36" t="n">
        <v>1</v>
      </c>
      <c r="H1042" s="36" t="n">
        <f aca="false">F1042*G1042</f>
        <v>32</v>
      </c>
      <c r="I1042" s="36" t="n">
        <f aca="false">INDEX(Inventory!$D$2:$D$17,MATCH(C1042,Inventory!$A$2:$A$17,0))</f>
        <v>0.6</v>
      </c>
      <c r="J1042" s="36" t="n">
        <f aca="false">F1042*I1042</f>
        <v>19.2</v>
      </c>
      <c r="K1042" s="36" t="n">
        <f aca="false">H1042-J1042</f>
        <v>12.8</v>
      </c>
    </row>
    <row r="1043" customFormat="false" ht="15" hidden="false" customHeight="false" outlineLevel="0" collapsed="false">
      <c r="A1043" s="41" t="n">
        <v>46269</v>
      </c>
      <c r="B1043" s="42" t="n">
        <f aca="false">DATE(YEAR(A1043),MONTH(A1043),1)</f>
        <v>46266</v>
      </c>
      <c r="C1043" s="3" t="s">
        <v>53</v>
      </c>
      <c r="D1043" s="3" t="s">
        <v>54</v>
      </c>
      <c r="E1043" s="3" t="s">
        <v>27</v>
      </c>
      <c r="F1043" s="3" t="n">
        <v>17</v>
      </c>
      <c r="G1043" s="36" t="n">
        <v>0.95</v>
      </c>
      <c r="H1043" s="36" t="n">
        <f aca="false">F1043*G1043</f>
        <v>16.15</v>
      </c>
      <c r="I1043" s="36" t="n">
        <f aca="false">INDEX(Inventory!$D$2:$D$17,MATCH(C1043,Inventory!$A$2:$A$17,0))</f>
        <v>0.55</v>
      </c>
      <c r="J1043" s="36" t="n">
        <f aca="false">F1043*I1043</f>
        <v>9.35</v>
      </c>
      <c r="K1043" s="36" t="n">
        <f aca="false">H1043-J1043</f>
        <v>6.8</v>
      </c>
    </row>
    <row r="1044" customFormat="false" ht="15" hidden="false" customHeight="false" outlineLevel="0" collapsed="false">
      <c r="A1044" s="41" t="n">
        <v>46269</v>
      </c>
      <c r="B1044" s="42" t="n">
        <f aca="false">DATE(YEAR(A1044),MONTH(A1044),1)</f>
        <v>46266</v>
      </c>
      <c r="C1044" s="3" t="s">
        <v>59</v>
      </c>
      <c r="D1044" s="3" t="s">
        <v>60</v>
      </c>
      <c r="E1044" s="3" t="s">
        <v>27</v>
      </c>
      <c r="F1044" s="3" t="n">
        <v>37</v>
      </c>
      <c r="G1044" s="36" t="n">
        <v>0.6</v>
      </c>
      <c r="H1044" s="36" t="n">
        <f aca="false">F1044*G1044</f>
        <v>22.2</v>
      </c>
      <c r="I1044" s="36" t="n">
        <f aca="false">INDEX(Inventory!$D$2:$D$17,MATCH(C1044,Inventory!$A$2:$A$17,0))</f>
        <v>0.3</v>
      </c>
      <c r="J1044" s="36" t="n">
        <f aca="false">F1044*I1044</f>
        <v>11.1</v>
      </c>
      <c r="K1044" s="36" t="n">
        <f aca="false">H1044-J1044</f>
        <v>11.1</v>
      </c>
    </row>
    <row r="1045" customFormat="false" ht="15" hidden="false" customHeight="false" outlineLevel="0" collapsed="false">
      <c r="A1045" s="41" t="n">
        <v>46269</v>
      </c>
      <c r="B1045" s="42" t="n">
        <f aca="false">DATE(YEAR(A1045),MONTH(A1045),1)</f>
        <v>46266</v>
      </c>
      <c r="C1045" s="3" t="s">
        <v>57</v>
      </c>
      <c r="D1045" s="3" t="s">
        <v>58</v>
      </c>
      <c r="E1045" s="3" t="s">
        <v>27</v>
      </c>
      <c r="F1045" s="3" t="n">
        <v>11</v>
      </c>
      <c r="G1045" s="36" t="n">
        <v>1.5</v>
      </c>
      <c r="H1045" s="36" t="n">
        <f aca="false">F1045*G1045</f>
        <v>16.5</v>
      </c>
      <c r="I1045" s="36" t="n">
        <f aca="false">INDEX(Inventory!$D$2:$D$17,MATCH(C1045,Inventory!$A$2:$A$17,0))</f>
        <v>0.9</v>
      </c>
      <c r="J1045" s="36" t="n">
        <f aca="false">F1045*I1045</f>
        <v>9.9</v>
      </c>
      <c r="K1045" s="36" t="n">
        <f aca="false">H1045-J1045</f>
        <v>6.6</v>
      </c>
    </row>
    <row r="1046" customFormat="false" ht="15" hidden="false" customHeight="false" outlineLevel="0" collapsed="false">
      <c r="A1046" s="41" t="n">
        <v>46269</v>
      </c>
      <c r="B1046" s="42" t="n">
        <f aca="false">DATE(YEAR(A1046),MONTH(A1046),1)</f>
        <v>46266</v>
      </c>
      <c r="C1046" s="3" t="s">
        <v>41</v>
      </c>
      <c r="D1046" s="3" t="s">
        <v>42</v>
      </c>
      <c r="E1046" s="3" t="s">
        <v>28</v>
      </c>
      <c r="F1046" s="3" t="n">
        <v>26</v>
      </c>
      <c r="G1046" s="36" t="n">
        <v>1.3</v>
      </c>
      <c r="H1046" s="36" t="n">
        <f aca="false">F1046*G1046</f>
        <v>33.8</v>
      </c>
      <c r="I1046" s="36" t="n">
        <f aca="false">INDEX(Inventory!$D$2:$D$17,MATCH(C1046,Inventory!$A$2:$A$17,0))</f>
        <v>0.8</v>
      </c>
      <c r="J1046" s="36" t="n">
        <f aca="false">F1046*I1046</f>
        <v>20.8</v>
      </c>
      <c r="K1046" s="36" t="n">
        <f aca="false">H1046-J1046</f>
        <v>13</v>
      </c>
    </row>
    <row r="1047" customFormat="false" ht="15" hidden="false" customHeight="false" outlineLevel="0" collapsed="false">
      <c r="A1047" s="41" t="n">
        <v>46269</v>
      </c>
      <c r="B1047" s="42" t="n">
        <f aca="false">DATE(YEAR(A1047),MONTH(A1047),1)</f>
        <v>46266</v>
      </c>
      <c r="C1047" s="3" t="s">
        <v>63</v>
      </c>
      <c r="D1047" s="3" t="s">
        <v>64</v>
      </c>
      <c r="E1047" s="3" t="s">
        <v>28</v>
      </c>
      <c r="F1047" s="3" t="n">
        <v>13</v>
      </c>
      <c r="G1047" s="36" t="n">
        <v>0.9</v>
      </c>
      <c r="H1047" s="36" t="n">
        <f aca="false">F1047*G1047</f>
        <v>11.7</v>
      </c>
      <c r="I1047" s="36" t="n">
        <f aca="false">INDEX(Inventory!$D$2:$D$17,MATCH(C1047,Inventory!$A$2:$A$17,0))</f>
        <v>0.5</v>
      </c>
      <c r="J1047" s="36" t="n">
        <f aca="false">F1047*I1047</f>
        <v>6.5</v>
      </c>
      <c r="K1047" s="36" t="n">
        <f aca="false">H1047-J1047</f>
        <v>5.2</v>
      </c>
    </row>
    <row r="1048" customFormat="false" ht="15" hidden="false" customHeight="false" outlineLevel="0" collapsed="false">
      <c r="A1048" s="41" t="n">
        <v>46269</v>
      </c>
      <c r="B1048" s="42" t="n">
        <f aca="false">DATE(YEAR(A1048),MONTH(A1048),1)</f>
        <v>46266</v>
      </c>
      <c r="C1048" s="3" t="s">
        <v>49</v>
      </c>
      <c r="D1048" s="3" t="s">
        <v>50</v>
      </c>
      <c r="E1048" s="3" t="s">
        <v>28</v>
      </c>
      <c r="F1048" s="3" t="n">
        <v>24</v>
      </c>
      <c r="G1048" s="36" t="n">
        <v>1.2</v>
      </c>
      <c r="H1048" s="36" t="n">
        <f aca="false">F1048*G1048</f>
        <v>28.8</v>
      </c>
      <c r="I1048" s="36" t="n">
        <f aca="false">INDEX(Inventory!$D$2:$D$17,MATCH(C1048,Inventory!$A$2:$A$17,0))</f>
        <v>0.7</v>
      </c>
      <c r="J1048" s="36" t="n">
        <f aca="false">F1048*I1048</f>
        <v>16.8</v>
      </c>
      <c r="K1048" s="36" t="n">
        <f aca="false">H1048-J1048</f>
        <v>12</v>
      </c>
    </row>
    <row r="1049" customFormat="false" ht="15" hidden="false" customHeight="false" outlineLevel="0" collapsed="false">
      <c r="A1049" s="41" t="n">
        <v>46269</v>
      </c>
      <c r="B1049" s="42" t="n">
        <f aca="false">DATE(YEAR(A1049),MONTH(A1049),1)</f>
        <v>46266</v>
      </c>
      <c r="C1049" s="3" t="s">
        <v>51</v>
      </c>
      <c r="D1049" s="3" t="s">
        <v>52</v>
      </c>
      <c r="E1049" s="3" t="s">
        <v>28</v>
      </c>
      <c r="F1049" s="3" t="n">
        <v>31</v>
      </c>
      <c r="G1049" s="36" t="n">
        <v>0.85</v>
      </c>
      <c r="H1049" s="36" t="n">
        <f aca="false">F1049*G1049</f>
        <v>26.35</v>
      </c>
      <c r="I1049" s="36" t="n">
        <f aca="false">INDEX(Inventory!$D$2:$D$17,MATCH(C1049,Inventory!$A$2:$A$17,0))</f>
        <v>0.45</v>
      </c>
      <c r="J1049" s="36" t="n">
        <f aca="false">F1049*I1049</f>
        <v>13.95</v>
      </c>
      <c r="K1049" s="36" t="n">
        <f aca="false">H1049-J1049</f>
        <v>12.4</v>
      </c>
    </row>
    <row r="1050" customFormat="false" ht="15" hidden="false" customHeight="false" outlineLevel="0" collapsed="false">
      <c r="A1050" s="41" t="n">
        <v>46269</v>
      </c>
      <c r="B1050" s="42" t="n">
        <f aca="false">DATE(YEAR(A1050),MONTH(A1050),1)</f>
        <v>46266</v>
      </c>
      <c r="C1050" s="3" t="s">
        <v>37</v>
      </c>
      <c r="D1050" s="3" t="s">
        <v>38</v>
      </c>
      <c r="E1050" s="3" t="s">
        <v>26</v>
      </c>
      <c r="F1050" s="3" t="n">
        <v>31</v>
      </c>
      <c r="G1050" s="36" t="n">
        <v>1.2</v>
      </c>
      <c r="H1050" s="36" t="n">
        <f aca="false">F1050*G1050</f>
        <v>37.2</v>
      </c>
      <c r="I1050" s="36" t="n">
        <f aca="false">INDEX(Inventory!$D$2:$D$17,MATCH(C1050,Inventory!$A$2:$A$17,0))</f>
        <v>0.85</v>
      </c>
      <c r="J1050" s="36" t="n">
        <f aca="false">F1050*I1050</f>
        <v>26.35</v>
      </c>
      <c r="K1050" s="36" t="n">
        <f aca="false">H1050-J1050</f>
        <v>10.85</v>
      </c>
    </row>
    <row r="1051" customFormat="false" ht="15" hidden="false" customHeight="false" outlineLevel="0" collapsed="false">
      <c r="A1051" s="41" t="n">
        <v>46269</v>
      </c>
      <c r="B1051" s="42" t="n">
        <f aca="false">DATE(YEAR(A1051),MONTH(A1051),1)</f>
        <v>46266</v>
      </c>
      <c r="C1051" s="3" t="s">
        <v>47</v>
      </c>
      <c r="D1051" s="3" t="s">
        <v>48</v>
      </c>
      <c r="E1051" s="3" t="s">
        <v>26</v>
      </c>
      <c r="F1051" s="3" t="n">
        <v>12</v>
      </c>
      <c r="G1051" s="36" t="n">
        <v>2.2</v>
      </c>
      <c r="H1051" s="36" t="n">
        <f aca="false">F1051*G1051</f>
        <v>26.4</v>
      </c>
      <c r="I1051" s="36" t="n">
        <f aca="false">INDEX(Inventory!$D$2:$D$17,MATCH(C1051,Inventory!$A$2:$A$17,0))</f>
        <v>1.4</v>
      </c>
      <c r="J1051" s="36" t="n">
        <f aca="false">F1051*I1051</f>
        <v>16.8</v>
      </c>
      <c r="K1051" s="36" t="n">
        <f aca="false">H1051-J1051</f>
        <v>9.60000000000001</v>
      </c>
    </row>
    <row r="1052" customFormat="false" ht="15" hidden="false" customHeight="false" outlineLevel="0" collapsed="false">
      <c r="A1052" s="41" t="n">
        <v>46269</v>
      </c>
      <c r="B1052" s="42" t="n">
        <f aca="false">DATE(YEAR(A1052),MONTH(A1052),1)</f>
        <v>46266</v>
      </c>
      <c r="C1052" s="3" t="s">
        <v>43</v>
      </c>
      <c r="D1052" s="3" t="s">
        <v>44</v>
      </c>
      <c r="E1052" s="3" t="s">
        <v>26</v>
      </c>
      <c r="F1052" s="3" t="n">
        <v>9</v>
      </c>
      <c r="G1052" s="36" t="n">
        <v>3.8</v>
      </c>
      <c r="H1052" s="36" t="n">
        <f aca="false">F1052*G1052</f>
        <v>34.2</v>
      </c>
      <c r="I1052" s="36" t="n">
        <f aca="false">INDEX(Inventory!$D$2:$D$17,MATCH(C1052,Inventory!$A$2:$A$17,0))</f>
        <v>2.6</v>
      </c>
      <c r="J1052" s="36" t="n">
        <f aca="false">F1052*I1052</f>
        <v>23.4</v>
      </c>
      <c r="K1052" s="36" t="n">
        <f aca="false">H1052-J1052</f>
        <v>10.8</v>
      </c>
    </row>
    <row r="1053" customFormat="false" ht="15" hidden="false" customHeight="false" outlineLevel="0" collapsed="false">
      <c r="A1053" s="41" t="n">
        <v>46269</v>
      </c>
      <c r="B1053" s="42" t="n">
        <f aca="false">DATE(YEAR(A1053),MONTH(A1053),1)</f>
        <v>46266</v>
      </c>
      <c r="C1053" s="3" t="s">
        <v>67</v>
      </c>
      <c r="D1053" s="3" t="s">
        <v>68</v>
      </c>
      <c r="E1053" s="3" t="s">
        <v>26</v>
      </c>
      <c r="F1053" s="3" t="n">
        <v>5</v>
      </c>
      <c r="G1053" s="36" t="n">
        <v>1.9</v>
      </c>
      <c r="H1053" s="36" t="n">
        <f aca="false">F1053*G1053</f>
        <v>9.5</v>
      </c>
      <c r="I1053" s="36" t="n">
        <f aca="false">INDEX(Inventory!$D$2:$D$17,MATCH(C1053,Inventory!$A$2:$A$17,0))</f>
        <v>1.3</v>
      </c>
      <c r="J1053" s="36" t="n">
        <f aca="false">F1053*I1053</f>
        <v>6.5</v>
      </c>
      <c r="K1053" s="36" t="n">
        <f aca="false">H1053-J1053</f>
        <v>3</v>
      </c>
    </row>
    <row r="1054" customFormat="false" ht="15" hidden="false" customHeight="false" outlineLevel="0" collapsed="false">
      <c r="A1054" s="41" t="n">
        <v>46269</v>
      </c>
      <c r="B1054" s="42" t="n">
        <f aca="false">DATE(YEAR(A1054),MONTH(A1054),1)</f>
        <v>46266</v>
      </c>
      <c r="C1054" s="3" t="s">
        <v>61</v>
      </c>
      <c r="D1054" s="3" t="s">
        <v>62</v>
      </c>
      <c r="E1054" s="3" t="s">
        <v>29</v>
      </c>
      <c r="F1054" s="3" t="n">
        <v>9</v>
      </c>
      <c r="G1054" s="36" t="n">
        <v>1.9</v>
      </c>
      <c r="H1054" s="36" t="n">
        <f aca="false">F1054*G1054</f>
        <v>17.1</v>
      </c>
      <c r="I1054" s="36" t="n">
        <f aca="false">INDEX(Inventory!$D$2:$D$17,MATCH(C1054,Inventory!$A$2:$A$17,0))</f>
        <v>1.1</v>
      </c>
      <c r="J1054" s="36" t="n">
        <f aca="false">F1054*I1054</f>
        <v>9.9</v>
      </c>
      <c r="K1054" s="36" t="n">
        <f aca="false">H1054-J1054</f>
        <v>7.2</v>
      </c>
    </row>
    <row r="1055" customFormat="false" ht="15" hidden="false" customHeight="false" outlineLevel="0" collapsed="false">
      <c r="A1055" s="41" t="n">
        <v>46269</v>
      </c>
      <c r="B1055" s="42" t="n">
        <f aca="false">DATE(YEAR(A1055),MONTH(A1055),1)</f>
        <v>46266</v>
      </c>
      <c r="C1055" s="3" t="s">
        <v>45</v>
      </c>
      <c r="D1055" s="3" t="s">
        <v>46</v>
      </c>
      <c r="E1055" s="3" t="s">
        <v>29</v>
      </c>
      <c r="F1055" s="3" t="n">
        <v>6</v>
      </c>
      <c r="G1055" s="36" t="n">
        <v>5.2</v>
      </c>
      <c r="H1055" s="36" t="n">
        <f aca="false">F1055*G1055</f>
        <v>31.2</v>
      </c>
      <c r="I1055" s="36" t="n">
        <f aca="false">INDEX(Inventory!$D$2:$D$17,MATCH(C1055,Inventory!$A$2:$A$17,0))</f>
        <v>3.5</v>
      </c>
      <c r="J1055" s="36" t="n">
        <f aca="false">F1055*I1055</f>
        <v>21</v>
      </c>
      <c r="K1055" s="36" t="n">
        <f aca="false">H1055-J1055</f>
        <v>10.2</v>
      </c>
    </row>
    <row r="1056" customFormat="false" ht="15" hidden="false" customHeight="false" outlineLevel="0" collapsed="false">
      <c r="A1056" s="41" t="n">
        <v>46269</v>
      </c>
      <c r="B1056" s="42" t="n">
        <f aca="false">DATE(YEAR(A1056),MONTH(A1056),1)</f>
        <v>46266</v>
      </c>
      <c r="C1056" s="3" t="s">
        <v>65</v>
      </c>
      <c r="D1056" s="3" t="s">
        <v>66</v>
      </c>
      <c r="E1056" s="3" t="s">
        <v>29</v>
      </c>
      <c r="F1056" s="3" t="n">
        <v>11</v>
      </c>
      <c r="G1056" s="36" t="n">
        <v>1.5</v>
      </c>
      <c r="H1056" s="36" t="n">
        <f aca="false">F1056*G1056</f>
        <v>16.5</v>
      </c>
      <c r="I1056" s="36" t="n">
        <f aca="false">INDEX(Inventory!$D$2:$D$17,MATCH(C1056,Inventory!$A$2:$A$17,0))</f>
        <v>0.9</v>
      </c>
      <c r="J1056" s="36" t="n">
        <f aca="false">F1056*I1056</f>
        <v>9.9</v>
      </c>
      <c r="K1056" s="36" t="n">
        <f aca="false">H1056-J1056</f>
        <v>6.6</v>
      </c>
    </row>
    <row r="1057" customFormat="false" ht="15" hidden="false" customHeight="false" outlineLevel="0" collapsed="false">
      <c r="A1057" s="41" t="n">
        <v>46269</v>
      </c>
      <c r="B1057" s="42" t="n">
        <f aca="false">DATE(YEAR(A1057),MONTH(A1057),1)</f>
        <v>46266</v>
      </c>
      <c r="C1057" s="3" t="s">
        <v>55</v>
      </c>
      <c r="D1057" s="3" t="s">
        <v>56</v>
      </c>
      <c r="E1057" s="3" t="s">
        <v>29</v>
      </c>
      <c r="F1057" s="3" t="n">
        <v>9</v>
      </c>
      <c r="G1057" s="36" t="n">
        <v>2.5</v>
      </c>
      <c r="H1057" s="36" t="n">
        <f aca="false">F1057*G1057</f>
        <v>22.5</v>
      </c>
      <c r="I1057" s="36" t="n">
        <f aca="false">INDEX(Inventory!$D$2:$D$17,MATCH(C1057,Inventory!$A$2:$A$17,0))</f>
        <v>1.6</v>
      </c>
      <c r="J1057" s="36" t="n">
        <f aca="false">F1057*I1057</f>
        <v>14.4</v>
      </c>
      <c r="K1057" s="36" t="n">
        <f aca="false">H1057-J1057</f>
        <v>8.1</v>
      </c>
    </row>
    <row r="1058" customFormat="false" ht="15" hidden="false" customHeight="false" outlineLevel="0" collapsed="false">
      <c r="A1058" s="41" t="n">
        <v>46270</v>
      </c>
      <c r="B1058" s="42" t="n">
        <f aca="false">DATE(YEAR(A1058),MONTH(A1058),1)</f>
        <v>46266</v>
      </c>
      <c r="C1058" s="3" t="s">
        <v>39</v>
      </c>
      <c r="D1058" s="3" t="s">
        <v>40</v>
      </c>
      <c r="E1058" s="3" t="s">
        <v>27</v>
      </c>
      <c r="F1058" s="3" t="n">
        <v>31</v>
      </c>
      <c r="G1058" s="36" t="n">
        <v>1</v>
      </c>
      <c r="H1058" s="36" t="n">
        <f aca="false">F1058*G1058</f>
        <v>31</v>
      </c>
      <c r="I1058" s="36" t="n">
        <f aca="false">INDEX(Inventory!$D$2:$D$17,MATCH(C1058,Inventory!$A$2:$A$17,0))</f>
        <v>0.6</v>
      </c>
      <c r="J1058" s="36" t="n">
        <f aca="false">F1058*I1058</f>
        <v>18.6</v>
      </c>
      <c r="K1058" s="36" t="n">
        <f aca="false">H1058-J1058</f>
        <v>12.4</v>
      </c>
    </row>
    <row r="1059" customFormat="false" ht="15" hidden="false" customHeight="false" outlineLevel="0" collapsed="false">
      <c r="A1059" s="41" t="n">
        <v>46270</v>
      </c>
      <c r="B1059" s="42" t="n">
        <f aca="false">DATE(YEAR(A1059),MONTH(A1059),1)</f>
        <v>46266</v>
      </c>
      <c r="C1059" s="3" t="s">
        <v>53</v>
      </c>
      <c r="D1059" s="3" t="s">
        <v>54</v>
      </c>
      <c r="E1059" s="3" t="s">
        <v>27</v>
      </c>
      <c r="F1059" s="3" t="n">
        <v>27</v>
      </c>
      <c r="G1059" s="36" t="n">
        <v>0.95</v>
      </c>
      <c r="H1059" s="36" t="n">
        <f aca="false">F1059*G1059</f>
        <v>25.65</v>
      </c>
      <c r="I1059" s="36" t="n">
        <f aca="false">INDEX(Inventory!$D$2:$D$17,MATCH(C1059,Inventory!$A$2:$A$17,0))</f>
        <v>0.55</v>
      </c>
      <c r="J1059" s="36" t="n">
        <f aca="false">F1059*I1059</f>
        <v>14.85</v>
      </c>
      <c r="K1059" s="36" t="n">
        <f aca="false">H1059-J1059</f>
        <v>10.8</v>
      </c>
    </row>
    <row r="1060" customFormat="false" ht="15" hidden="false" customHeight="false" outlineLevel="0" collapsed="false">
      <c r="A1060" s="41" t="n">
        <v>46270</v>
      </c>
      <c r="B1060" s="42" t="n">
        <f aca="false">DATE(YEAR(A1060),MONTH(A1060),1)</f>
        <v>46266</v>
      </c>
      <c r="C1060" s="3" t="s">
        <v>59</v>
      </c>
      <c r="D1060" s="3" t="s">
        <v>60</v>
      </c>
      <c r="E1060" s="3" t="s">
        <v>27</v>
      </c>
      <c r="F1060" s="3" t="n">
        <v>40</v>
      </c>
      <c r="G1060" s="36" t="n">
        <v>0.6</v>
      </c>
      <c r="H1060" s="36" t="n">
        <f aca="false">F1060*G1060</f>
        <v>24</v>
      </c>
      <c r="I1060" s="36" t="n">
        <f aca="false">INDEX(Inventory!$D$2:$D$17,MATCH(C1060,Inventory!$A$2:$A$17,0))</f>
        <v>0.3</v>
      </c>
      <c r="J1060" s="36" t="n">
        <f aca="false">F1060*I1060</f>
        <v>12</v>
      </c>
      <c r="K1060" s="36" t="n">
        <f aca="false">H1060-J1060</f>
        <v>12</v>
      </c>
    </row>
    <row r="1061" customFormat="false" ht="15" hidden="false" customHeight="false" outlineLevel="0" collapsed="false">
      <c r="A1061" s="41" t="n">
        <v>46270</v>
      </c>
      <c r="B1061" s="42" t="n">
        <f aca="false">DATE(YEAR(A1061),MONTH(A1061),1)</f>
        <v>46266</v>
      </c>
      <c r="C1061" s="3" t="s">
        <v>57</v>
      </c>
      <c r="D1061" s="3" t="s">
        <v>58</v>
      </c>
      <c r="E1061" s="3" t="s">
        <v>27</v>
      </c>
      <c r="F1061" s="3" t="n">
        <v>14</v>
      </c>
      <c r="G1061" s="36" t="n">
        <v>1.5</v>
      </c>
      <c r="H1061" s="36" t="n">
        <f aca="false">F1061*G1061</f>
        <v>21</v>
      </c>
      <c r="I1061" s="36" t="n">
        <f aca="false">INDEX(Inventory!$D$2:$D$17,MATCH(C1061,Inventory!$A$2:$A$17,0))</f>
        <v>0.9</v>
      </c>
      <c r="J1061" s="36" t="n">
        <f aca="false">F1061*I1061</f>
        <v>12.6</v>
      </c>
      <c r="K1061" s="36" t="n">
        <f aca="false">H1061-J1061</f>
        <v>8.4</v>
      </c>
    </row>
    <row r="1062" customFormat="false" ht="15" hidden="false" customHeight="false" outlineLevel="0" collapsed="false">
      <c r="A1062" s="41" t="n">
        <v>46270</v>
      </c>
      <c r="B1062" s="42" t="n">
        <f aca="false">DATE(YEAR(A1062),MONTH(A1062),1)</f>
        <v>46266</v>
      </c>
      <c r="C1062" s="3" t="s">
        <v>41</v>
      </c>
      <c r="D1062" s="3" t="s">
        <v>42</v>
      </c>
      <c r="E1062" s="3" t="s">
        <v>28</v>
      </c>
      <c r="F1062" s="3" t="n">
        <v>31</v>
      </c>
      <c r="G1062" s="36" t="n">
        <v>1.3</v>
      </c>
      <c r="H1062" s="36" t="n">
        <f aca="false">F1062*G1062</f>
        <v>40.3</v>
      </c>
      <c r="I1062" s="36" t="n">
        <f aca="false">INDEX(Inventory!$D$2:$D$17,MATCH(C1062,Inventory!$A$2:$A$17,0))</f>
        <v>0.8</v>
      </c>
      <c r="J1062" s="36" t="n">
        <f aca="false">F1062*I1062</f>
        <v>24.8</v>
      </c>
      <c r="K1062" s="36" t="n">
        <f aca="false">H1062-J1062</f>
        <v>15.5</v>
      </c>
    </row>
    <row r="1063" customFormat="false" ht="15" hidden="false" customHeight="false" outlineLevel="0" collapsed="false">
      <c r="A1063" s="41" t="n">
        <v>46270</v>
      </c>
      <c r="B1063" s="42" t="n">
        <f aca="false">DATE(YEAR(A1063),MONTH(A1063),1)</f>
        <v>46266</v>
      </c>
      <c r="C1063" s="3" t="s">
        <v>63</v>
      </c>
      <c r="D1063" s="3" t="s">
        <v>64</v>
      </c>
      <c r="E1063" s="3" t="s">
        <v>28</v>
      </c>
      <c r="F1063" s="3" t="n">
        <v>20</v>
      </c>
      <c r="G1063" s="36" t="n">
        <v>0.9</v>
      </c>
      <c r="H1063" s="36" t="n">
        <f aca="false">F1063*G1063</f>
        <v>18</v>
      </c>
      <c r="I1063" s="36" t="n">
        <f aca="false">INDEX(Inventory!$D$2:$D$17,MATCH(C1063,Inventory!$A$2:$A$17,0))</f>
        <v>0.5</v>
      </c>
      <c r="J1063" s="36" t="n">
        <f aca="false">F1063*I1063</f>
        <v>10</v>
      </c>
      <c r="K1063" s="36" t="n">
        <f aca="false">H1063-J1063</f>
        <v>8</v>
      </c>
    </row>
    <row r="1064" customFormat="false" ht="15" hidden="false" customHeight="false" outlineLevel="0" collapsed="false">
      <c r="A1064" s="41" t="n">
        <v>46270</v>
      </c>
      <c r="B1064" s="42" t="n">
        <f aca="false">DATE(YEAR(A1064),MONTH(A1064),1)</f>
        <v>46266</v>
      </c>
      <c r="C1064" s="3" t="s">
        <v>49</v>
      </c>
      <c r="D1064" s="3" t="s">
        <v>50</v>
      </c>
      <c r="E1064" s="3" t="s">
        <v>28</v>
      </c>
      <c r="F1064" s="3" t="n">
        <v>28</v>
      </c>
      <c r="G1064" s="36" t="n">
        <v>1.2</v>
      </c>
      <c r="H1064" s="36" t="n">
        <f aca="false">F1064*G1064</f>
        <v>33.6</v>
      </c>
      <c r="I1064" s="36" t="n">
        <f aca="false">INDEX(Inventory!$D$2:$D$17,MATCH(C1064,Inventory!$A$2:$A$17,0))</f>
        <v>0.7</v>
      </c>
      <c r="J1064" s="36" t="n">
        <f aca="false">F1064*I1064</f>
        <v>19.6</v>
      </c>
      <c r="K1064" s="36" t="n">
        <f aca="false">H1064-J1064</f>
        <v>14</v>
      </c>
    </row>
    <row r="1065" customFormat="false" ht="15" hidden="false" customHeight="false" outlineLevel="0" collapsed="false">
      <c r="A1065" s="41" t="n">
        <v>46270</v>
      </c>
      <c r="B1065" s="42" t="n">
        <f aca="false">DATE(YEAR(A1065),MONTH(A1065),1)</f>
        <v>46266</v>
      </c>
      <c r="C1065" s="3" t="s">
        <v>51</v>
      </c>
      <c r="D1065" s="3" t="s">
        <v>52</v>
      </c>
      <c r="E1065" s="3" t="s">
        <v>28</v>
      </c>
      <c r="F1065" s="3" t="n">
        <v>36</v>
      </c>
      <c r="G1065" s="36" t="n">
        <v>0.85</v>
      </c>
      <c r="H1065" s="36" t="n">
        <f aca="false">F1065*G1065</f>
        <v>30.6</v>
      </c>
      <c r="I1065" s="36" t="n">
        <f aca="false">INDEX(Inventory!$D$2:$D$17,MATCH(C1065,Inventory!$A$2:$A$17,0))</f>
        <v>0.45</v>
      </c>
      <c r="J1065" s="36" t="n">
        <f aca="false">F1065*I1065</f>
        <v>16.2</v>
      </c>
      <c r="K1065" s="36" t="n">
        <f aca="false">H1065-J1065</f>
        <v>14.4</v>
      </c>
    </row>
    <row r="1066" customFormat="false" ht="15" hidden="false" customHeight="false" outlineLevel="0" collapsed="false">
      <c r="A1066" s="41" t="n">
        <v>46270</v>
      </c>
      <c r="B1066" s="42" t="n">
        <f aca="false">DATE(YEAR(A1066),MONTH(A1066),1)</f>
        <v>46266</v>
      </c>
      <c r="C1066" s="3" t="s">
        <v>37</v>
      </c>
      <c r="D1066" s="3" t="s">
        <v>38</v>
      </c>
      <c r="E1066" s="3" t="s">
        <v>26</v>
      </c>
      <c r="F1066" s="3" t="n">
        <v>39</v>
      </c>
      <c r="G1066" s="36" t="n">
        <v>1.2</v>
      </c>
      <c r="H1066" s="36" t="n">
        <f aca="false">F1066*G1066</f>
        <v>46.8</v>
      </c>
      <c r="I1066" s="36" t="n">
        <f aca="false">INDEX(Inventory!$D$2:$D$17,MATCH(C1066,Inventory!$A$2:$A$17,0))</f>
        <v>0.85</v>
      </c>
      <c r="J1066" s="36" t="n">
        <f aca="false">F1066*I1066</f>
        <v>33.15</v>
      </c>
      <c r="K1066" s="36" t="n">
        <f aca="false">H1066-J1066</f>
        <v>13.65</v>
      </c>
    </row>
    <row r="1067" customFormat="false" ht="15" hidden="false" customHeight="false" outlineLevel="0" collapsed="false">
      <c r="A1067" s="41" t="n">
        <v>46270</v>
      </c>
      <c r="B1067" s="42" t="n">
        <f aca="false">DATE(YEAR(A1067),MONTH(A1067),1)</f>
        <v>46266</v>
      </c>
      <c r="C1067" s="3" t="s">
        <v>47</v>
      </c>
      <c r="D1067" s="3" t="s">
        <v>48</v>
      </c>
      <c r="E1067" s="3" t="s">
        <v>26</v>
      </c>
      <c r="F1067" s="3" t="n">
        <v>15</v>
      </c>
      <c r="G1067" s="36" t="n">
        <v>2.2</v>
      </c>
      <c r="H1067" s="36" t="n">
        <f aca="false">F1067*G1067</f>
        <v>33</v>
      </c>
      <c r="I1067" s="36" t="n">
        <f aca="false">INDEX(Inventory!$D$2:$D$17,MATCH(C1067,Inventory!$A$2:$A$17,0))</f>
        <v>1.4</v>
      </c>
      <c r="J1067" s="36" t="n">
        <f aca="false">F1067*I1067</f>
        <v>21</v>
      </c>
      <c r="K1067" s="36" t="n">
        <f aca="false">H1067-J1067</f>
        <v>12</v>
      </c>
    </row>
    <row r="1068" customFormat="false" ht="15" hidden="false" customHeight="false" outlineLevel="0" collapsed="false">
      <c r="A1068" s="41" t="n">
        <v>46270</v>
      </c>
      <c r="B1068" s="42" t="n">
        <f aca="false">DATE(YEAR(A1068),MONTH(A1068),1)</f>
        <v>46266</v>
      </c>
      <c r="C1068" s="3" t="s">
        <v>43</v>
      </c>
      <c r="D1068" s="3" t="s">
        <v>44</v>
      </c>
      <c r="E1068" s="3" t="s">
        <v>26</v>
      </c>
      <c r="F1068" s="3" t="n">
        <v>9</v>
      </c>
      <c r="G1068" s="36" t="n">
        <v>3.8</v>
      </c>
      <c r="H1068" s="36" t="n">
        <f aca="false">F1068*G1068</f>
        <v>34.2</v>
      </c>
      <c r="I1068" s="36" t="n">
        <f aca="false">INDEX(Inventory!$D$2:$D$17,MATCH(C1068,Inventory!$A$2:$A$17,0))</f>
        <v>2.6</v>
      </c>
      <c r="J1068" s="36" t="n">
        <f aca="false">F1068*I1068</f>
        <v>23.4</v>
      </c>
      <c r="K1068" s="36" t="n">
        <f aca="false">H1068-J1068</f>
        <v>10.8</v>
      </c>
    </row>
    <row r="1069" customFormat="false" ht="15" hidden="false" customHeight="false" outlineLevel="0" collapsed="false">
      <c r="A1069" s="41" t="n">
        <v>46270</v>
      </c>
      <c r="B1069" s="42" t="n">
        <f aca="false">DATE(YEAR(A1069),MONTH(A1069),1)</f>
        <v>46266</v>
      </c>
      <c r="C1069" s="3" t="s">
        <v>67</v>
      </c>
      <c r="D1069" s="3" t="s">
        <v>68</v>
      </c>
      <c r="E1069" s="3" t="s">
        <v>26</v>
      </c>
      <c r="F1069" s="3" t="n">
        <v>7</v>
      </c>
      <c r="G1069" s="36" t="n">
        <v>1.9</v>
      </c>
      <c r="H1069" s="36" t="n">
        <f aca="false">F1069*G1069</f>
        <v>13.3</v>
      </c>
      <c r="I1069" s="36" t="n">
        <f aca="false">INDEX(Inventory!$D$2:$D$17,MATCH(C1069,Inventory!$A$2:$A$17,0))</f>
        <v>1.3</v>
      </c>
      <c r="J1069" s="36" t="n">
        <f aca="false">F1069*I1069</f>
        <v>9.1</v>
      </c>
      <c r="K1069" s="36" t="n">
        <f aca="false">H1069-J1069</f>
        <v>4.2</v>
      </c>
    </row>
    <row r="1070" customFormat="false" ht="15" hidden="false" customHeight="false" outlineLevel="0" collapsed="false">
      <c r="A1070" s="41" t="n">
        <v>46270</v>
      </c>
      <c r="B1070" s="42" t="n">
        <f aca="false">DATE(YEAR(A1070),MONTH(A1070),1)</f>
        <v>46266</v>
      </c>
      <c r="C1070" s="3" t="s">
        <v>61</v>
      </c>
      <c r="D1070" s="3" t="s">
        <v>62</v>
      </c>
      <c r="E1070" s="3" t="s">
        <v>29</v>
      </c>
      <c r="F1070" s="3" t="n">
        <v>10</v>
      </c>
      <c r="G1070" s="36" t="n">
        <v>1.9</v>
      </c>
      <c r="H1070" s="36" t="n">
        <f aca="false">F1070*G1070</f>
        <v>19</v>
      </c>
      <c r="I1070" s="36" t="n">
        <f aca="false">INDEX(Inventory!$D$2:$D$17,MATCH(C1070,Inventory!$A$2:$A$17,0))</f>
        <v>1.1</v>
      </c>
      <c r="J1070" s="36" t="n">
        <f aca="false">F1070*I1070</f>
        <v>11</v>
      </c>
      <c r="K1070" s="36" t="n">
        <f aca="false">H1070-J1070</f>
        <v>8</v>
      </c>
    </row>
    <row r="1071" customFormat="false" ht="15" hidden="false" customHeight="false" outlineLevel="0" collapsed="false">
      <c r="A1071" s="41" t="n">
        <v>46270</v>
      </c>
      <c r="B1071" s="42" t="n">
        <f aca="false">DATE(YEAR(A1071),MONTH(A1071),1)</f>
        <v>46266</v>
      </c>
      <c r="C1071" s="3" t="s">
        <v>45</v>
      </c>
      <c r="D1071" s="3" t="s">
        <v>46</v>
      </c>
      <c r="E1071" s="3" t="s">
        <v>29</v>
      </c>
      <c r="F1071" s="3" t="n">
        <v>11</v>
      </c>
      <c r="G1071" s="36" t="n">
        <v>5.2</v>
      </c>
      <c r="H1071" s="36" t="n">
        <f aca="false">F1071*G1071</f>
        <v>57.2</v>
      </c>
      <c r="I1071" s="36" t="n">
        <f aca="false">INDEX(Inventory!$D$2:$D$17,MATCH(C1071,Inventory!$A$2:$A$17,0))</f>
        <v>3.5</v>
      </c>
      <c r="J1071" s="36" t="n">
        <f aca="false">F1071*I1071</f>
        <v>38.5</v>
      </c>
      <c r="K1071" s="36" t="n">
        <f aca="false">H1071-J1071</f>
        <v>18.7</v>
      </c>
    </row>
    <row r="1072" customFormat="false" ht="15" hidden="false" customHeight="false" outlineLevel="0" collapsed="false">
      <c r="A1072" s="41" t="n">
        <v>46270</v>
      </c>
      <c r="B1072" s="42" t="n">
        <f aca="false">DATE(YEAR(A1072),MONTH(A1072),1)</f>
        <v>46266</v>
      </c>
      <c r="C1072" s="3" t="s">
        <v>65</v>
      </c>
      <c r="D1072" s="3" t="s">
        <v>66</v>
      </c>
      <c r="E1072" s="3" t="s">
        <v>29</v>
      </c>
      <c r="F1072" s="3" t="n">
        <v>10</v>
      </c>
      <c r="G1072" s="36" t="n">
        <v>1.5</v>
      </c>
      <c r="H1072" s="36" t="n">
        <f aca="false">F1072*G1072</f>
        <v>15</v>
      </c>
      <c r="I1072" s="36" t="n">
        <f aca="false">INDEX(Inventory!$D$2:$D$17,MATCH(C1072,Inventory!$A$2:$A$17,0))</f>
        <v>0.9</v>
      </c>
      <c r="J1072" s="36" t="n">
        <f aca="false">F1072*I1072</f>
        <v>9</v>
      </c>
      <c r="K1072" s="36" t="n">
        <f aca="false">H1072-J1072</f>
        <v>6</v>
      </c>
    </row>
    <row r="1073" customFormat="false" ht="15" hidden="false" customHeight="false" outlineLevel="0" collapsed="false">
      <c r="A1073" s="41" t="n">
        <v>46270</v>
      </c>
      <c r="B1073" s="42" t="n">
        <f aca="false">DATE(YEAR(A1073),MONTH(A1073),1)</f>
        <v>46266</v>
      </c>
      <c r="C1073" s="3" t="s">
        <v>55</v>
      </c>
      <c r="D1073" s="3" t="s">
        <v>56</v>
      </c>
      <c r="E1073" s="3" t="s">
        <v>29</v>
      </c>
      <c r="F1073" s="3" t="n">
        <v>10</v>
      </c>
      <c r="G1073" s="36" t="n">
        <v>2.5</v>
      </c>
      <c r="H1073" s="36" t="n">
        <f aca="false">F1073*G1073</f>
        <v>25</v>
      </c>
      <c r="I1073" s="36" t="n">
        <f aca="false">INDEX(Inventory!$D$2:$D$17,MATCH(C1073,Inventory!$A$2:$A$17,0))</f>
        <v>1.6</v>
      </c>
      <c r="J1073" s="36" t="n">
        <f aca="false">F1073*I1073</f>
        <v>16</v>
      </c>
      <c r="K1073" s="36" t="n">
        <f aca="false">H1073-J1073</f>
        <v>9</v>
      </c>
    </row>
    <row r="1074" customFormat="false" ht="15" hidden="false" customHeight="false" outlineLevel="0" collapsed="false">
      <c r="A1074" s="41" t="n">
        <v>46271</v>
      </c>
      <c r="B1074" s="42" t="n">
        <f aca="false">DATE(YEAR(A1074),MONTH(A1074),1)</f>
        <v>46266</v>
      </c>
      <c r="C1074" s="3" t="s">
        <v>39</v>
      </c>
      <c r="D1074" s="3" t="s">
        <v>40</v>
      </c>
      <c r="E1074" s="3" t="s">
        <v>27</v>
      </c>
      <c r="F1074" s="3" t="n">
        <v>34</v>
      </c>
      <c r="G1074" s="36" t="n">
        <v>1</v>
      </c>
      <c r="H1074" s="36" t="n">
        <f aca="false">F1074*G1074</f>
        <v>34</v>
      </c>
      <c r="I1074" s="36" t="n">
        <f aca="false">INDEX(Inventory!$D$2:$D$17,MATCH(C1074,Inventory!$A$2:$A$17,0))</f>
        <v>0.6</v>
      </c>
      <c r="J1074" s="36" t="n">
        <f aca="false">F1074*I1074</f>
        <v>20.4</v>
      </c>
      <c r="K1074" s="36" t="n">
        <f aca="false">H1074-J1074</f>
        <v>13.6</v>
      </c>
    </row>
    <row r="1075" customFormat="false" ht="15" hidden="false" customHeight="false" outlineLevel="0" collapsed="false">
      <c r="A1075" s="41" t="n">
        <v>46271</v>
      </c>
      <c r="B1075" s="42" t="n">
        <f aca="false">DATE(YEAR(A1075),MONTH(A1075),1)</f>
        <v>46266</v>
      </c>
      <c r="C1075" s="3" t="s">
        <v>53</v>
      </c>
      <c r="D1075" s="3" t="s">
        <v>54</v>
      </c>
      <c r="E1075" s="3" t="s">
        <v>27</v>
      </c>
      <c r="F1075" s="3" t="n">
        <v>24</v>
      </c>
      <c r="G1075" s="36" t="n">
        <v>0.95</v>
      </c>
      <c r="H1075" s="36" t="n">
        <f aca="false">F1075*G1075</f>
        <v>22.8</v>
      </c>
      <c r="I1075" s="36" t="n">
        <f aca="false">INDEX(Inventory!$D$2:$D$17,MATCH(C1075,Inventory!$A$2:$A$17,0))</f>
        <v>0.55</v>
      </c>
      <c r="J1075" s="36" t="n">
        <f aca="false">F1075*I1075</f>
        <v>13.2</v>
      </c>
      <c r="K1075" s="36" t="n">
        <f aca="false">H1075-J1075</f>
        <v>9.6</v>
      </c>
    </row>
    <row r="1076" customFormat="false" ht="15" hidden="false" customHeight="false" outlineLevel="0" collapsed="false">
      <c r="A1076" s="41" t="n">
        <v>46271</v>
      </c>
      <c r="B1076" s="42" t="n">
        <f aca="false">DATE(YEAR(A1076),MONTH(A1076),1)</f>
        <v>46266</v>
      </c>
      <c r="C1076" s="3" t="s">
        <v>59</v>
      </c>
      <c r="D1076" s="3" t="s">
        <v>60</v>
      </c>
      <c r="E1076" s="3" t="s">
        <v>27</v>
      </c>
      <c r="F1076" s="3" t="n">
        <v>38</v>
      </c>
      <c r="G1076" s="36" t="n">
        <v>0.6</v>
      </c>
      <c r="H1076" s="36" t="n">
        <f aca="false">F1076*G1076</f>
        <v>22.8</v>
      </c>
      <c r="I1076" s="36" t="n">
        <f aca="false">INDEX(Inventory!$D$2:$D$17,MATCH(C1076,Inventory!$A$2:$A$17,0))</f>
        <v>0.3</v>
      </c>
      <c r="J1076" s="36" t="n">
        <f aca="false">F1076*I1076</f>
        <v>11.4</v>
      </c>
      <c r="K1076" s="36" t="n">
        <f aca="false">H1076-J1076</f>
        <v>11.4</v>
      </c>
    </row>
    <row r="1077" customFormat="false" ht="15" hidden="false" customHeight="false" outlineLevel="0" collapsed="false">
      <c r="A1077" s="41" t="n">
        <v>46271</v>
      </c>
      <c r="B1077" s="42" t="n">
        <f aca="false">DATE(YEAR(A1077),MONTH(A1077),1)</f>
        <v>46266</v>
      </c>
      <c r="C1077" s="3" t="s">
        <v>57</v>
      </c>
      <c r="D1077" s="3" t="s">
        <v>58</v>
      </c>
      <c r="E1077" s="3" t="s">
        <v>27</v>
      </c>
      <c r="F1077" s="3" t="n">
        <v>11</v>
      </c>
      <c r="G1077" s="36" t="n">
        <v>1.5</v>
      </c>
      <c r="H1077" s="36" t="n">
        <f aca="false">F1077*G1077</f>
        <v>16.5</v>
      </c>
      <c r="I1077" s="36" t="n">
        <f aca="false">INDEX(Inventory!$D$2:$D$17,MATCH(C1077,Inventory!$A$2:$A$17,0))</f>
        <v>0.9</v>
      </c>
      <c r="J1077" s="36" t="n">
        <f aca="false">F1077*I1077</f>
        <v>9.9</v>
      </c>
      <c r="K1077" s="36" t="n">
        <f aca="false">H1077-J1077</f>
        <v>6.6</v>
      </c>
    </row>
    <row r="1078" customFormat="false" ht="15" hidden="false" customHeight="false" outlineLevel="0" collapsed="false">
      <c r="A1078" s="41" t="n">
        <v>46271</v>
      </c>
      <c r="B1078" s="42" t="n">
        <f aca="false">DATE(YEAR(A1078),MONTH(A1078),1)</f>
        <v>46266</v>
      </c>
      <c r="C1078" s="3" t="s">
        <v>41</v>
      </c>
      <c r="D1078" s="3" t="s">
        <v>42</v>
      </c>
      <c r="E1078" s="3" t="s">
        <v>28</v>
      </c>
      <c r="F1078" s="3" t="n">
        <v>23</v>
      </c>
      <c r="G1078" s="36" t="n">
        <v>1.3</v>
      </c>
      <c r="H1078" s="36" t="n">
        <f aca="false">F1078*G1078</f>
        <v>29.9</v>
      </c>
      <c r="I1078" s="36" t="n">
        <f aca="false">INDEX(Inventory!$D$2:$D$17,MATCH(C1078,Inventory!$A$2:$A$17,0))</f>
        <v>0.8</v>
      </c>
      <c r="J1078" s="36" t="n">
        <f aca="false">F1078*I1078</f>
        <v>18.4</v>
      </c>
      <c r="K1078" s="36" t="n">
        <f aca="false">H1078-J1078</f>
        <v>11.5</v>
      </c>
    </row>
    <row r="1079" customFormat="false" ht="15" hidden="false" customHeight="false" outlineLevel="0" collapsed="false">
      <c r="A1079" s="41" t="n">
        <v>46271</v>
      </c>
      <c r="B1079" s="42" t="n">
        <f aca="false">DATE(YEAR(A1079),MONTH(A1079),1)</f>
        <v>46266</v>
      </c>
      <c r="C1079" s="3" t="s">
        <v>63</v>
      </c>
      <c r="D1079" s="3" t="s">
        <v>64</v>
      </c>
      <c r="E1079" s="3" t="s">
        <v>28</v>
      </c>
      <c r="F1079" s="3" t="n">
        <v>15</v>
      </c>
      <c r="G1079" s="36" t="n">
        <v>0.9</v>
      </c>
      <c r="H1079" s="36" t="n">
        <f aca="false">F1079*G1079</f>
        <v>13.5</v>
      </c>
      <c r="I1079" s="36" t="n">
        <f aca="false">INDEX(Inventory!$D$2:$D$17,MATCH(C1079,Inventory!$A$2:$A$17,0))</f>
        <v>0.5</v>
      </c>
      <c r="J1079" s="36" t="n">
        <f aca="false">F1079*I1079</f>
        <v>7.5</v>
      </c>
      <c r="K1079" s="36" t="n">
        <f aca="false">H1079-J1079</f>
        <v>6</v>
      </c>
    </row>
    <row r="1080" customFormat="false" ht="15" hidden="false" customHeight="false" outlineLevel="0" collapsed="false">
      <c r="A1080" s="41" t="n">
        <v>46271</v>
      </c>
      <c r="B1080" s="42" t="n">
        <f aca="false">DATE(YEAR(A1080),MONTH(A1080),1)</f>
        <v>46266</v>
      </c>
      <c r="C1080" s="3" t="s">
        <v>49</v>
      </c>
      <c r="D1080" s="3" t="s">
        <v>50</v>
      </c>
      <c r="E1080" s="3" t="s">
        <v>28</v>
      </c>
      <c r="F1080" s="3" t="n">
        <v>22</v>
      </c>
      <c r="G1080" s="36" t="n">
        <v>1.2</v>
      </c>
      <c r="H1080" s="36" t="n">
        <f aca="false">F1080*G1080</f>
        <v>26.4</v>
      </c>
      <c r="I1080" s="36" t="n">
        <f aca="false">INDEX(Inventory!$D$2:$D$17,MATCH(C1080,Inventory!$A$2:$A$17,0))</f>
        <v>0.7</v>
      </c>
      <c r="J1080" s="36" t="n">
        <f aca="false">F1080*I1080</f>
        <v>15.4</v>
      </c>
      <c r="K1080" s="36" t="n">
        <f aca="false">H1080-J1080</f>
        <v>11</v>
      </c>
    </row>
    <row r="1081" customFormat="false" ht="15" hidden="false" customHeight="false" outlineLevel="0" collapsed="false">
      <c r="A1081" s="41" t="n">
        <v>46271</v>
      </c>
      <c r="B1081" s="42" t="n">
        <f aca="false">DATE(YEAR(A1081),MONTH(A1081),1)</f>
        <v>46266</v>
      </c>
      <c r="C1081" s="3" t="s">
        <v>51</v>
      </c>
      <c r="D1081" s="3" t="s">
        <v>52</v>
      </c>
      <c r="E1081" s="3" t="s">
        <v>28</v>
      </c>
      <c r="F1081" s="3" t="n">
        <v>27</v>
      </c>
      <c r="G1081" s="36" t="n">
        <v>0.85</v>
      </c>
      <c r="H1081" s="36" t="n">
        <f aca="false">F1081*G1081</f>
        <v>22.95</v>
      </c>
      <c r="I1081" s="36" t="n">
        <f aca="false">INDEX(Inventory!$D$2:$D$17,MATCH(C1081,Inventory!$A$2:$A$17,0))</f>
        <v>0.45</v>
      </c>
      <c r="J1081" s="36" t="n">
        <f aca="false">F1081*I1081</f>
        <v>12.15</v>
      </c>
      <c r="K1081" s="36" t="n">
        <f aca="false">H1081-J1081</f>
        <v>10.8</v>
      </c>
    </row>
    <row r="1082" customFormat="false" ht="15" hidden="false" customHeight="false" outlineLevel="0" collapsed="false">
      <c r="A1082" s="41" t="n">
        <v>46271</v>
      </c>
      <c r="B1082" s="42" t="n">
        <f aca="false">DATE(YEAR(A1082),MONTH(A1082),1)</f>
        <v>46266</v>
      </c>
      <c r="C1082" s="3" t="s">
        <v>37</v>
      </c>
      <c r="D1082" s="3" t="s">
        <v>38</v>
      </c>
      <c r="E1082" s="3" t="s">
        <v>26</v>
      </c>
      <c r="F1082" s="3" t="n">
        <v>30</v>
      </c>
      <c r="G1082" s="36" t="n">
        <v>1.2</v>
      </c>
      <c r="H1082" s="36" t="n">
        <f aca="false">F1082*G1082</f>
        <v>36</v>
      </c>
      <c r="I1082" s="36" t="n">
        <f aca="false">INDEX(Inventory!$D$2:$D$17,MATCH(C1082,Inventory!$A$2:$A$17,0))</f>
        <v>0.85</v>
      </c>
      <c r="J1082" s="36" t="n">
        <f aca="false">F1082*I1082</f>
        <v>25.5</v>
      </c>
      <c r="K1082" s="36" t="n">
        <f aca="false">H1082-J1082</f>
        <v>10.5</v>
      </c>
    </row>
    <row r="1083" customFormat="false" ht="15" hidden="false" customHeight="false" outlineLevel="0" collapsed="false">
      <c r="A1083" s="41" t="n">
        <v>46271</v>
      </c>
      <c r="B1083" s="42" t="n">
        <f aca="false">DATE(YEAR(A1083),MONTH(A1083),1)</f>
        <v>46266</v>
      </c>
      <c r="C1083" s="3" t="s">
        <v>47</v>
      </c>
      <c r="D1083" s="3" t="s">
        <v>48</v>
      </c>
      <c r="E1083" s="3" t="s">
        <v>26</v>
      </c>
      <c r="F1083" s="3" t="n">
        <v>15</v>
      </c>
      <c r="G1083" s="36" t="n">
        <v>2.2</v>
      </c>
      <c r="H1083" s="36" t="n">
        <f aca="false">F1083*G1083</f>
        <v>33</v>
      </c>
      <c r="I1083" s="36" t="n">
        <f aca="false">INDEX(Inventory!$D$2:$D$17,MATCH(C1083,Inventory!$A$2:$A$17,0))</f>
        <v>1.4</v>
      </c>
      <c r="J1083" s="36" t="n">
        <f aca="false">F1083*I1083</f>
        <v>21</v>
      </c>
      <c r="K1083" s="36" t="n">
        <f aca="false">H1083-J1083</f>
        <v>12</v>
      </c>
    </row>
    <row r="1084" customFormat="false" ht="15" hidden="false" customHeight="false" outlineLevel="0" collapsed="false">
      <c r="A1084" s="41" t="n">
        <v>46271</v>
      </c>
      <c r="B1084" s="42" t="n">
        <f aca="false">DATE(YEAR(A1084),MONTH(A1084),1)</f>
        <v>46266</v>
      </c>
      <c r="C1084" s="3" t="s">
        <v>43</v>
      </c>
      <c r="D1084" s="3" t="s">
        <v>44</v>
      </c>
      <c r="E1084" s="3" t="s">
        <v>26</v>
      </c>
      <c r="F1084" s="3" t="n">
        <v>9</v>
      </c>
      <c r="G1084" s="36" t="n">
        <v>3.8</v>
      </c>
      <c r="H1084" s="36" t="n">
        <f aca="false">F1084*G1084</f>
        <v>34.2</v>
      </c>
      <c r="I1084" s="36" t="n">
        <f aca="false">INDEX(Inventory!$D$2:$D$17,MATCH(C1084,Inventory!$A$2:$A$17,0))</f>
        <v>2.6</v>
      </c>
      <c r="J1084" s="36" t="n">
        <f aca="false">F1084*I1084</f>
        <v>23.4</v>
      </c>
      <c r="K1084" s="36" t="n">
        <f aca="false">H1084-J1084</f>
        <v>10.8</v>
      </c>
    </row>
    <row r="1085" customFormat="false" ht="15" hidden="false" customHeight="false" outlineLevel="0" collapsed="false">
      <c r="A1085" s="41" t="n">
        <v>46271</v>
      </c>
      <c r="B1085" s="42" t="n">
        <f aca="false">DATE(YEAR(A1085),MONTH(A1085),1)</f>
        <v>46266</v>
      </c>
      <c r="C1085" s="3" t="s">
        <v>67</v>
      </c>
      <c r="D1085" s="3" t="s">
        <v>68</v>
      </c>
      <c r="E1085" s="3" t="s">
        <v>26</v>
      </c>
      <c r="F1085" s="3" t="n">
        <v>10</v>
      </c>
      <c r="G1085" s="36" t="n">
        <v>1.9</v>
      </c>
      <c r="H1085" s="36" t="n">
        <f aca="false">F1085*G1085</f>
        <v>19</v>
      </c>
      <c r="I1085" s="36" t="n">
        <f aca="false">INDEX(Inventory!$D$2:$D$17,MATCH(C1085,Inventory!$A$2:$A$17,0))</f>
        <v>1.3</v>
      </c>
      <c r="J1085" s="36" t="n">
        <f aca="false">F1085*I1085</f>
        <v>13</v>
      </c>
      <c r="K1085" s="36" t="n">
        <f aca="false">H1085-J1085</f>
        <v>6</v>
      </c>
    </row>
    <row r="1086" customFormat="false" ht="15" hidden="false" customHeight="false" outlineLevel="0" collapsed="false">
      <c r="A1086" s="41" t="n">
        <v>46271</v>
      </c>
      <c r="B1086" s="42" t="n">
        <f aca="false">DATE(YEAR(A1086),MONTH(A1086),1)</f>
        <v>46266</v>
      </c>
      <c r="C1086" s="3" t="s">
        <v>61</v>
      </c>
      <c r="D1086" s="3" t="s">
        <v>62</v>
      </c>
      <c r="E1086" s="3" t="s">
        <v>29</v>
      </c>
      <c r="F1086" s="3" t="n">
        <v>12</v>
      </c>
      <c r="G1086" s="36" t="n">
        <v>1.9</v>
      </c>
      <c r="H1086" s="36" t="n">
        <f aca="false">F1086*G1086</f>
        <v>22.8</v>
      </c>
      <c r="I1086" s="36" t="n">
        <f aca="false">INDEX(Inventory!$D$2:$D$17,MATCH(C1086,Inventory!$A$2:$A$17,0))</f>
        <v>1.1</v>
      </c>
      <c r="J1086" s="36" t="n">
        <f aca="false">F1086*I1086</f>
        <v>13.2</v>
      </c>
      <c r="K1086" s="36" t="n">
        <f aca="false">H1086-J1086</f>
        <v>9.6</v>
      </c>
    </row>
    <row r="1087" customFormat="false" ht="15" hidden="false" customHeight="false" outlineLevel="0" collapsed="false">
      <c r="A1087" s="41" t="n">
        <v>46271</v>
      </c>
      <c r="B1087" s="42" t="n">
        <f aca="false">DATE(YEAR(A1087),MONTH(A1087),1)</f>
        <v>46266</v>
      </c>
      <c r="C1087" s="3" t="s">
        <v>45</v>
      </c>
      <c r="D1087" s="3" t="s">
        <v>46</v>
      </c>
      <c r="E1087" s="3" t="s">
        <v>29</v>
      </c>
      <c r="F1087" s="3" t="n">
        <v>7</v>
      </c>
      <c r="G1087" s="36" t="n">
        <v>5.2</v>
      </c>
      <c r="H1087" s="36" t="n">
        <f aca="false">F1087*G1087</f>
        <v>36.4</v>
      </c>
      <c r="I1087" s="36" t="n">
        <f aca="false">INDEX(Inventory!$D$2:$D$17,MATCH(C1087,Inventory!$A$2:$A$17,0))</f>
        <v>3.5</v>
      </c>
      <c r="J1087" s="36" t="n">
        <f aca="false">F1087*I1087</f>
        <v>24.5</v>
      </c>
      <c r="K1087" s="36" t="n">
        <f aca="false">H1087-J1087</f>
        <v>11.9</v>
      </c>
    </row>
    <row r="1088" customFormat="false" ht="15" hidden="false" customHeight="false" outlineLevel="0" collapsed="false">
      <c r="A1088" s="41" t="n">
        <v>46271</v>
      </c>
      <c r="B1088" s="42" t="n">
        <f aca="false">DATE(YEAR(A1088),MONTH(A1088),1)</f>
        <v>46266</v>
      </c>
      <c r="C1088" s="3" t="s">
        <v>65</v>
      </c>
      <c r="D1088" s="3" t="s">
        <v>66</v>
      </c>
      <c r="E1088" s="3" t="s">
        <v>29</v>
      </c>
      <c r="F1088" s="3" t="n">
        <v>9</v>
      </c>
      <c r="G1088" s="36" t="n">
        <v>1.5</v>
      </c>
      <c r="H1088" s="36" t="n">
        <f aca="false">F1088*G1088</f>
        <v>13.5</v>
      </c>
      <c r="I1088" s="36" t="n">
        <f aca="false">INDEX(Inventory!$D$2:$D$17,MATCH(C1088,Inventory!$A$2:$A$17,0))</f>
        <v>0.9</v>
      </c>
      <c r="J1088" s="36" t="n">
        <f aca="false">F1088*I1088</f>
        <v>8.1</v>
      </c>
      <c r="K1088" s="36" t="n">
        <f aca="false">H1088-J1088</f>
        <v>5.4</v>
      </c>
    </row>
    <row r="1089" customFormat="false" ht="15" hidden="false" customHeight="false" outlineLevel="0" collapsed="false">
      <c r="A1089" s="41" t="n">
        <v>46271</v>
      </c>
      <c r="B1089" s="42" t="n">
        <f aca="false">DATE(YEAR(A1089),MONTH(A1089),1)</f>
        <v>46266</v>
      </c>
      <c r="C1089" s="3" t="s">
        <v>55</v>
      </c>
      <c r="D1089" s="3" t="s">
        <v>56</v>
      </c>
      <c r="E1089" s="3" t="s">
        <v>29</v>
      </c>
      <c r="F1089" s="3" t="n">
        <v>11</v>
      </c>
      <c r="G1089" s="36" t="n">
        <v>2.5</v>
      </c>
      <c r="H1089" s="36" t="n">
        <f aca="false">F1089*G1089</f>
        <v>27.5</v>
      </c>
      <c r="I1089" s="36" t="n">
        <f aca="false">INDEX(Inventory!$D$2:$D$17,MATCH(C1089,Inventory!$A$2:$A$17,0))</f>
        <v>1.6</v>
      </c>
      <c r="J1089" s="36" t="n">
        <f aca="false">F1089*I1089</f>
        <v>17.6</v>
      </c>
      <c r="K1089" s="36" t="n">
        <f aca="false">H1089-J1089</f>
        <v>9.9</v>
      </c>
    </row>
    <row r="1090" customFormat="false" ht="15" hidden="false" customHeight="false" outlineLevel="0" collapsed="false">
      <c r="A1090" s="41" t="n">
        <v>46272</v>
      </c>
      <c r="B1090" s="42" t="n">
        <f aca="false">DATE(YEAR(A1090),MONTH(A1090),1)</f>
        <v>46266</v>
      </c>
      <c r="C1090" s="3" t="s">
        <v>39</v>
      </c>
      <c r="D1090" s="3" t="s">
        <v>40</v>
      </c>
      <c r="E1090" s="3" t="s">
        <v>27</v>
      </c>
      <c r="F1090" s="3" t="n">
        <v>25</v>
      </c>
      <c r="G1090" s="36" t="n">
        <v>1</v>
      </c>
      <c r="H1090" s="36" t="n">
        <f aca="false">F1090*G1090</f>
        <v>25</v>
      </c>
      <c r="I1090" s="36" t="n">
        <f aca="false">INDEX(Inventory!$D$2:$D$17,MATCH(C1090,Inventory!$A$2:$A$17,0))</f>
        <v>0.6</v>
      </c>
      <c r="J1090" s="36" t="n">
        <f aca="false">F1090*I1090</f>
        <v>15</v>
      </c>
      <c r="K1090" s="36" t="n">
        <f aca="false">H1090-J1090</f>
        <v>10</v>
      </c>
    </row>
    <row r="1091" customFormat="false" ht="15" hidden="false" customHeight="false" outlineLevel="0" collapsed="false">
      <c r="A1091" s="41" t="n">
        <v>46272</v>
      </c>
      <c r="B1091" s="42" t="n">
        <f aca="false">DATE(YEAR(A1091),MONTH(A1091),1)</f>
        <v>46266</v>
      </c>
      <c r="C1091" s="3" t="s">
        <v>53</v>
      </c>
      <c r="D1091" s="3" t="s">
        <v>54</v>
      </c>
      <c r="E1091" s="3" t="s">
        <v>27</v>
      </c>
      <c r="F1091" s="3" t="n">
        <v>21</v>
      </c>
      <c r="G1091" s="36" t="n">
        <v>0.95</v>
      </c>
      <c r="H1091" s="36" t="n">
        <f aca="false">F1091*G1091</f>
        <v>19.95</v>
      </c>
      <c r="I1091" s="36" t="n">
        <f aca="false">INDEX(Inventory!$D$2:$D$17,MATCH(C1091,Inventory!$A$2:$A$17,0))</f>
        <v>0.55</v>
      </c>
      <c r="J1091" s="36" t="n">
        <f aca="false">F1091*I1091</f>
        <v>11.55</v>
      </c>
      <c r="K1091" s="36" t="n">
        <f aca="false">H1091-J1091</f>
        <v>8.4</v>
      </c>
    </row>
    <row r="1092" customFormat="false" ht="15" hidden="false" customHeight="false" outlineLevel="0" collapsed="false">
      <c r="A1092" s="41" t="n">
        <v>46272</v>
      </c>
      <c r="B1092" s="42" t="n">
        <f aca="false">DATE(YEAR(A1092),MONTH(A1092),1)</f>
        <v>46266</v>
      </c>
      <c r="C1092" s="3" t="s">
        <v>59</v>
      </c>
      <c r="D1092" s="3" t="s">
        <v>60</v>
      </c>
      <c r="E1092" s="3" t="s">
        <v>27</v>
      </c>
      <c r="F1092" s="3" t="n">
        <v>35</v>
      </c>
      <c r="G1092" s="36" t="n">
        <v>0.6</v>
      </c>
      <c r="H1092" s="36" t="n">
        <f aca="false">F1092*G1092</f>
        <v>21</v>
      </c>
      <c r="I1092" s="36" t="n">
        <f aca="false">INDEX(Inventory!$D$2:$D$17,MATCH(C1092,Inventory!$A$2:$A$17,0))</f>
        <v>0.3</v>
      </c>
      <c r="J1092" s="36" t="n">
        <f aca="false">F1092*I1092</f>
        <v>10.5</v>
      </c>
      <c r="K1092" s="36" t="n">
        <f aca="false">H1092-J1092</f>
        <v>10.5</v>
      </c>
    </row>
    <row r="1093" customFormat="false" ht="15" hidden="false" customHeight="false" outlineLevel="0" collapsed="false">
      <c r="A1093" s="41" t="n">
        <v>46272</v>
      </c>
      <c r="B1093" s="42" t="n">
        <f aca="false">DATE(YEAR(A1093),MONTH(A1093),1)</f>
        <v>46266</v>
      </c>
      <c r="C1093" s="3" t="s">
        <v>57</v>
      </c>
      <c r="D1093" s="3" t="s">
        <v>58</v>
      </c>
      <c r="E1093" s="3" t="s">
        <v>27</v>
      </c>
      <c r="F1093" s="3" t="n">
        <v>12</v>
      </c>
      <c r="G1093" s="36" t="n">
        <v>1.5</v>
      </c>
      <c r="H1093" s="36" t="n">
        <f aca="false">F1093*G1093</f>
        <v>18</v>
      </c>
      <c r="I1093" s="36" t="n">
        <f aca="false">INDEX(Inventory!$D$2:$D$17,MATCH(C1093,Inventory!$A$2:$A$17,0))</f>
        <v>0.9</v>
      </c>
      <c r="J1093" s="36" t="n">
        <f aca="false">F1093*I1093</f>
        <v>10.8</v>
      </c>
      <c r="K1093" s="36" t="n">
        <f aca="false">H1093-J1093</f>
        <v>7.2</v>
      </c>
    </row>
    <row r="1094" customFormat="false" ht="15" hidden="false" customHeight="false" outlineLevel="0" collapsed="false">
      <c r="A1094" s="41" t="n">
        <v>46272</v>
      </c>
      <c r="B1094" s="42" t="n">
        <f aca="false">DATE(YEAR(A1094),MONTH(A1094),1)</f>
        <v>46266</v>
      </c>
      <c r="C1094" s="3" t="s">
        <v>41</v>
      </c>
      <c r="D1094" s="3" t="s">
        <v>42</v>
      </c>
      <c r="E1094" s="3" t="s">
        <v>28</v>
      </c>
      <c r="F1094" s="3" t="n">
        <v>23</v>
      </c>
      <c r="G1094" s="36" t="n">
        <v>1.3</v>
      </c>
      <c r="H1094" s="36" t="n">
        <f aca="false">F1094*G1094</f>
        <v>29.9</v>
      </c>
      <c r="I1094" s="36" t="n">
        <f aca="false">INDEX(Inventory!$D$2:$D$17,MATCH(C1094,Inventory!$A$2:$A$17,0))</f>
        <v>0.8</v>
      </c>
      <c r="J1094" s="36" t="n">
        <f aca="false">F1094*I1094</f>
        <v>18.4</v>
      </c>
      <c r="K1094" s="36" t="n">
        <f aca="false">H1094-J1094</f>
        <v>11.5</v>
      </c>
    </row>
    <row r="1095" customFormat="false" ht="15" hidden="false" customHeight="false" outlineLevel="0" collapsed="false">
      <c r="A1095" s="41" t="n">
        <v>46272</v>
      </c>
      <c r="B1095" s="42" t="n">
        <f aca="false">DATE(YEAR(A1095),MONTH(A1095),1)</f>
        <v>46266</v>
      </c>
      <c r="C1095" s="3" t="s">
        <v>63</v>
      </c>
      <c r="D1095" s="3" t="s">
        <v>64</v>
      </c>
      <c r="E1095" s="3" t="s">
        <v>28</v>
      </c>
      <c r="F1095" s="3" t="n">
        <v>14</v>
      </c>
      <c r="G1095" s="36" t="n">
        <v>0.9</v>
      </c>
      <c r="H1095" s="36" t="n">
        <f aca="false">F1095*G1095</f>
        <v>12.6</v>
      </c>
      <c r="I1095" s="36" t="n">
        <f aca="false">INDEX(Inventory!$D$2:$D$17,MATCH(C1095,Inventory!$A$2:$A$17,0))</f>
        <v>0.5</v>
      </c>
      <c r="J1095" s="36" t="n">
        <f aca="false">F1095*I1095</f>
        <v>7</v>
      </c>
      <c r="K1095" s="36" t="n">
        <f aca="false">H1095-J1095</f>
        <v>5.6</v>
      </c>
    </row>
    <row r="1096" customFormat="false" ht="15" hidden="false" customHeight="false" outlineLevel="0" collapsed="false">
      <c r="A1096" s="41" t="n">
        <v>46272</v>
      </c>
      <c r="B1096" s="42" t="n">
        <f aca="false">DATE(YEAR(A1096),MONTH(A1096),1)</f>
        <v>46266</v>
      </c>
      <c r="C1096" s="3" t="s">
        <v>49</v>
      </c>
      <c r="D1096" s="3" t="s">
        <v>50</v>
      </c>
      <c r="E1096" s="3" t="s">
        <v>28</v>
      </c>
      <c r="F1096" s="3" t="n">
        <v>23</v>
      </c>
      <c r="G1096" s="36" t="n">
        <v>1.2</v>
      </c>
      <c r="H1096" s="36" t="n">
        <f aca="false">F1096*G1096</f>
        <v>27.6</v>
      </c>
      <c r="I1096" s="36" t="n">
        <f aca="false">INDEX(Inventory!$D$2:$D$17,MATCH(C1096,Inventory!$A$2:$A$17,0))</f>
        <v>0.7</v>
      </c>
      <c r="J1096" s="36" t="n">
        <f aca="false">F1096*I1096</f>
        <v>16.1</v>
      </c>
      <c r="K1096" s="36" t="n">
        <f aca="false">H1096-J1096</f>
        <v>11.5</v>
      </c>
    </row>
    <row r="1097" customFormat="false" ht="15" hidden="false" customHeight="false" outlineLevel="0" collapsed="false">
      <c r="A1097" s="41" t="n">
        <v>46272</v>
      </c>
      <c r="B1097" s="42" t="n">
        <f aca="false">DATE(YEAR(A1097),MONTH(A1097),1)</f>
        <v>46266</v>
      </c>
      <c r="C1097" s="3" t="s">
        <v>51</v>
      </c>
      <c r="D1097" s="3" t="s">
        <v>52</v>
      </c>
      <c r="E1097" s="3" t="s">
        <v>28</v>
      </c>
      <c r="F1097" s="3" t="n">
        <v>29</v>
      </c>
      <c r="G1097" s="36" t="n">
        <v>0.85</v>
      </c>
      <c r="H1097" s="36" t="n">
        <f aca="false">F1097*G1097</f>
        <v>24.65</v>
      </c>
      <c r="I1097" s="36" t="n">
        <f aca="false">INDEX(Inventory!$D$2:$D$17,MATCH(C1097,Inventory!$A$2:$A$17,0))</f>
        <v>0.45</v>
      </c>
      <c r="J1097" s="36" t="n">
        <f aca="false">F1097*I1097</f>
        <v>13.05</v>
      </c>
      <c r="K1097" s="36" t="n">
        <f aca="false">H1097-J1097</f>
        <v>11.6</v>
      </c>
    </row>
    <row r="1098" customFormat="false" ht="15" hidden="false" customHeight="false" outlineLevel="0" collapsed="false">
      <c r="A1098" s="41" t="n">
        <v>46272</v>
      </c>
      <c r="B1098" s="42" t="n">
        <f aca="false">DATE(YEAR(A1098),MONTH(A1098),1)</f>
        <v>46266</v>
      </c>
      <c r="C1098" s="3" t="s">
        <v>37</v>
      </c>
      <c r="D1098" s="3" t="s">
        <v>38</v>
      </c>
      <c r="E1098" s="3" t="s">
        <v>26</v>
      </c>
      <c r="F1098" s="3" t="n">
        <v>29</v>
      </c>
      <c r="G1098" s="36" t="n">
        <v>1.2</v>
      </c>
      <c r="H1098" s="36" t="n">
        <f aca="false">F1098*G1098</f>
        <v>34.8</v>
      </c>
      <c r="I1098" s="36" t="n">
        <f aca="false">INDEX(Inventory!$D$2:$D$17,MATCH(C1098,Inventory!$A$2:$A$17,0))</f>
        <v>0.85</v>
      </c>
      <c r="J1098" s="36" t="n">
        <f aca="false">F1098*I1098</f>
        <v>24.65</v>
      </c>
      <c r="K1098" s="36" t="n">
        <f aca="false">H1098-J1098</f>
        <v>10.15</v>
      </c>
    </row>
    <row r="1099" customFormat="false" ht="15" hidden="false" customHeight="false" outlineLevel="0" collapsed="false">
      <c r="A1099" s="41" t="n">
        <v>46272</v>
      </c>
      <c r="B1099" s="42" t="n">
        <f aca="false">DATE(YEAR(A1099),MONTH(A1099),1)</f>
        <v>46266</v>
      </c>
      <c r="C1099" s="3" t="s">
        <v>47</v>
      </c>
      <c r="D1099" s="3" t="s">
        <v>48</v>
      </c>
      <c r="E1099" s="3" t="s">
        <v>26</v>
      </c>
      <c r="F1099" s="3" t="n">
        <v>8</v>
      </c>
      <c r="G1099" s="36" t="n">
        <v>2.2</v>
      </c>
      <c r="H1099" s="36" t="n">
        <f aca="false">F1099*G1099</f>
        <v>17.6</v>
      </c>
      <c r="I1099" s="36" t="n">
        <f aca="false">INDEX(Inventory!$D$2:$D$17,MATCH(C1099,Inventory!$A$2:$A$17,0))</f>
        <v>1.4</v>
      </c>
      <c r="J1099" s="36" t="n">
        <f aca="false">F1099*I1099</f>
        <v>11.2</v>
      </c>
      <c r="K1099" s="36" t="n">
        <f aca="false">H1099-J1099</f>
        <v>6.4</v>
      </c>
    </row>
    <row r="1100" customFormat="false" ht="15" hidden="false" customHeight="false" outlineLevel="0" collapsed="false">
      <c r="A1100" s="41" t="n">
        <v>46272</v>
      </c>
      <c r="B1100" s="42" t="n">
        <f aca="false">DATE(YEAR(A1100),MONTH(A1100),1)</f>
        <v>46266</v>
      </c>
      <c r="C1100" s="3" t="s">
        <v>43</v>
      </c>
      <c r="D1100" s="3" t="s">
        <v>44</v>
      </c>
      <c r="E1100" s="3" t="s">
        <v>26</v>
      </c>
      <c r="F1100" s="3" t="n">
        <v>6</v>
      </c>
      <c r="G1100" s="36" t="n">
        <v>3.8</v>
      </c>
      <c r="H1100" s="36" t="n">
        <f aca="false">F1100*G1100</f>
        <v>22.8</v>
      </c>
      <c r="I1100" s="36" t="n">
        <f aca="false">INDEX(Inventory!$D$2:$D$17,MATCH(C1100,Inventory!$A$2:$A$17,0))</f>
        <v>2.6</v>
      </c>
      <c r="J1100" s="36" t="n">
        <f aca="false">F1100*I1100</f>
        <v>15.6</v>
      </c>
      <c r="K1100" s="36" t="n">
        <f aca="false">H1100-J1100</f>
        <v>7.2</v>
      </c>
    </row>
    <row r="1101" customFormat="false" ht="15" hidden="false" customHeight="false" outlineLevel="0" collapsed="false">
      <c r="A1101" s="41" t="n">
        <v>46272</v>
      </c>
      <c r="B1101" s="42" t="n">
        <f aca="false">DATE(YEAR(A1101),MONTH(A1101),1)</f>
        <v>46266</v>
      </c>
      <c r="C1101" s="3" t="s">
        <v>67</v>
      </c>
      <c r="D1101" s="3" t="s">
        <v>68</v>
      </c>
      <c r="E1101" s="3" t="s">
        <v>26</v>
      </c>
      <c r="F1101" s="3" t="n">
        <v>5</v>
      </c>
      <c r="G1101" s="36" t="n">
        <v>1.9</v>
      </c>
      <c r="H1101" s="36" t="n">
        <f aca="false">F1101*G1101</f>
        <v>9.5</v>
      </c>
      <c r="I1101" s="36" t="n">
        <f aca="false">INDEX(Inventory!$D$2:$D$17,MATCH(C1101,Inventory!$A$2:$A$17,0))</f>
        <v>1.3</v>
      </c>
      <c r="J1101" s="36" t="n">
        <f aca="false">F1101*I1101</f>
        <v>6.5</v>
      </c>
      <c r="K1101" s="36" t="n">
        <f aca="false">H1101-J1101</f>
        <v>3</v>
      </c>
    </row>
    <row r="1102" customFormat="false" ht="15" hidden="false" customHeight="false" outlineLevel="0" collapsed="false">
      <c r="A1102" s="41" t="n">
        <v>46272</v>
      </c>
      <c r="B1102" s="42" t="n">
        <f aca="false">DATE(YEAR(A1102),MONTH(A1102),1)</f>
        <v>46266</v>
      </c>
      <c r="C1102" s="3" t="s">
        <v>61</v>
      </c>
      <c r="D1102" s="3" t="s">
        <v>62</v>
      </c>
      <c r="E1102" s="3" t="s">
        <v>29</v>
      </c>
      <c r="F1102" s="3" t="n">
        <v>9</v>
      </c>
      <c r="G1102" s="36" t="n">
        <v>1.9</v>
      </c>
      <c r="H1102" s="36" t="n">
        <f aca="false">F1102*G1102</f>
        <v>17.1</v>
      </c>
      <c r="I1102" s="36" t="n">
        <f aca="false">INDEX(Inventory!$D$2:$D$17,MATCH(C1102,Inventory!$A$2:$A$17,0))</f>
        <v>1.1</v>
      </c>
      <c r="J1102" s="36" t="n">
        <f aca="false">F1102*I1102</f>
        <v>9.9</v>
      </c>
      <c r="K1102" s="36" t="n">
        <f aca="false">H1102-J1102</f>
        <v>7.2</v>
      </c>
    </row>
    <row r="1103" customFormat="false" ht="15" hidden="false" customHeight="false" outlineLevel="0" collapsed="false">
      <c r="A1103" s="41" t="n">
        <v>46272</v>
      </c>
      <c r="B1103" s="42" t="n">
        <f aca="false">DATE(YEAR(A1103),MONTH(A1103),1)</f>
        <v>46266</v>
      </c>
      <c r="C1103" s="3" t="s">
        <v>45</v>
      </c>
      <c r="D1103" s="3" t="s">
        <v>46</v>
      </c>
      <c r="E1103" s="3" t="s">
        <v>29</v>
      </c>
      <c r="F1103" s="3" t="n">
        <v>6</v>
      </c>
      <c r="G1103" s="36" t="n">
        <v>5.2</v>
      </c>
      <c r="H1103" s="36" t="n">
        <f aca="false">F1103*G1103</f>
        <v>31.2</v>
      </c>
      <c r="I1103" s="36" t="n">
        <f aca="false">INDEX(Inventory!$D$2:$D$17,MATCH(C1103,Inventory!$A$2:$A$17,0))</f>
        <v>3.5</v>
      </c>
      <c r="J1103" s="36" t="n">
        <f aca="false">F1103*I1103</f>
        <v>21</v>
      </c>
      <c r="K1103" s="36" t="n">
        <f aca="false">H1103-J1103</f>
        <v>10.2</v>
      </c>
    </row>
    <row r="1104" customFormat="false" ht="15" hidden="false" customHeight="false" outlineLevel="0" collapsed="false">
      <c r="A1104" s="41" t="n">
        <v>46272</v>
      </c>
      <c r="B1104" s="42" t="n">
        <f aca="false">DATE(YEAR(A1104),MONTH(A1104),1)</f>
        <v>46266</v>
      </c>
      <c r="C1104" s="3" t="s">
        <v>65</v>
      </c>
      <c r="D1104" s="3" t="s">
        <v>66</v>
      </c>
      <c r="E1104" s="3" t="s">
        <v>29</v>
      </c>
      <c r="F1104" s="3" t="n">
        <v>7</v>
      </c>
      <c r="G1104" s="36" t="n">
        <v>1.5</v>
      </c>
      <c r="H1104" s="36" t="n">
        <f aca="false">F1104*G1104</f>
        <v>10.5</v>
      </c>
      <c r="I1104" s="36" t="n">
        <f aca="false">INDEX(Inventory!$D$2:$D$17,MATCH(C1104,Inventory!$A$2:$A$17,0))</f>
        <v>0.9</v>
      </c>
      <c r="J1104" s="36" t="n">
        <f aca="false">F1104*I1104</f>
        <v>6.3</v>
      </c>
      <c r="K1104" s="36" t="n">
        <f aca="false">H1104-J1104</f>
        <v>4.2</v>
      </c>
    </row>
    <row r="1105" customFormat="false" ht="15" hidden="false" customHeight="false" outlineLevel="0" collapsed="false">
      <c r="A1105" s="41" t="n">
        <v>46272</v>
      </c>
      <c r="B1105" s="42" t="n">
        <f aca="false">DATE(YEAR(A1105),MONTH(A1105),1)</f>
        <v>46266</v>
      </c>
      <c r="C1105" s="3" t="s">
        <v>55</v>
      </c>
      <c r="D1105" s="3" t="s">
        <v>56</v>
      </c>
      <c r="E1105" s="3" t="s">
        <v>29</v>
      </c>
      <c r="F1105" s="3" t="n">
        <v>10</v>
      </c>
      <c r="G1105" s="36" t="n">
        <v>2.5</v>
      </c>
      <c r="H1105" s="36" t="n">
        <f aca="false">F1105*G1105</f>
        <v>25</v>
      </c>
      <c r="I1105" s="36" t="n">
        <f aca="false">INDEX(Inventory!$D$2:$D$17,MATCH(C1105,Inventory!$A$2:$A$17,0))</f>
        <v>1.6</v>
      </c>
      <c r="J1105" s="36" t="n">
        <f aca="false">F1105*I1105</f>
        <v>16</v>
      </c>
      <c r="K1105" s="36" t="n">
        <f aca="false">H1105-J1105</f>
        <v>9</v>
      </c>
    </row>
    <row r="1106" customFormat="false" ht="15" hidden="false" customHeight="false" outlineLevel="0" collapsed="false">
      <c r="A1106" s="41" t="n">
        <v>46273</v>
      </c>
      <c r="B1106" s="42" t="n">
        <f aca="false">DATE(YEAR(A1106),MONTH(A1106),1)</f>
        <v>46266</v>
      </c>
      <c r="C1106" s="3" t="s">
        <v>39</v>
      </c>
      <c r="D1106" s="3" t="s">
        <v>40</v>
      </c>
      <c r="E1106" s="3" t="s">
        <v>27</v>
      </c>
      <c r="F1106" s="3" t="n">
        <v>28</v>
      </c>
      <c r="G1106" s="36" t="n">
        <v>1</v>
      </c>
      <c r="H1106" s="36" t="n">
        <f aca="false">F1106*G1106</f>
        <v>28</v>
      </c>
      <c r="I1106" s="36" t="n">
        <f aca="false">INDEX(Inventory!$D$2:$D$17,MATCH(C1106,Inventory!$A$2:$A$17,0))</f>
        <v>0.6</v>
      </c>
      <c r="J1106" s="36" t="n">
        <f aca="false">F1106*I1106</f>
        <v>16.8</v>
      </c>
      <c r="K1106" s="36" t="n">
        <f aca="false">H1106-J1106</f>
        <v>11.2</v>
      </c>
    </row>
    <row r="1107" customFormat="false" ht="15" hidden="false" customHeight="false" outlineLevel="0" collapsed="false">
      <c r="A1107" s="41" t="n">
        <v>46273</v>
      </c>
      <c r="B1107" s="42" t="n">
        <f aca="false">DATE(YEAR(A1107),MONTH(A1107),1)</f>
        <v>46266</v>
      </c>
      <c r="C1107" s="3" t="s">
        <v>53</v>
      </c>
      <c r="D1107" s="3" t="s">
        <v>54</v>
      </c>
      <c r="E1107" s="3" t="s">
        <v>27</v>
      </c>
      <c r="F1107" s="3" t="n">
        <v>10</v>
      </c>
      <c r="G1107" s="36" t="n">
        <v>0.95</v>
      </c>
      <c r="H1107" s="36" t="n">
        <f aca="false">F1107*G1107</f>
        <v>9.5</v>
      </c>
      <c r="I1107" s="36" t="n">
        <f aca="false">INDEX(Inventory!$D$2:$D$17,MATCH(C1107,Inventory!$A$2:$A$17,0))</f>
        <v>0.55</v>
      </c>
      <c r="J1107" s="36" t="n">
        <f aca="false">F1107*I1107</f>
        <v>5.5</v>
      </c>
      <c r="K1107" s="36" t="n">
        <f aca="false">H1107-J1107</f>
        <v>4</v>
      </c>
    </row>
    <row r="1108" customFormat="false" ht="15" hidden="false" customHeight="false" outlineLevel="0" collapsed="false">
      <c r="A1108" s="41" t="n">
        <v>46273</v>
      </c>
      <c r="B1108" s="42" t="n">
        <f aca="false">DATE(YEAR(A1108),MONTH(A1108),1)</f>
        <v>46266</v>
      </c>
      <c r="C1108" s="3" t="s">
        <v>59</v>
      </c>
      <c r="D1108" s="3" t="s">
        <v>60</v>
      </c>
      <c r="E1108" s="3" t="s">
        <v>27</v>
      </c>
      <c r="F1108" s="3" t="n">
        <v>29</v>
      </c>
      <c r="G1108" s="36" t="n">
        <v>0.6</v>
      </c>
      <c r="H1108" s="36" t="n">
        <f aca="false">F1108*G1108</f>
        <v>17.4</v>
      </c>
      <c r="I1108" s="36" t="n">
        <f aca="false">INDEX(Inventory!$D$2:$D$17,MATCH(C1108,Inventory!$A$2:$A$17,0))</f>
        <v>0.3</v>
      </c>
      <c r="J1108" s="36" t="n">
        <f aca="false">F1108*I1108</f>
        <v>8.7</v>
      </c>
      <c r="K1108" s="36" t="n">
        <f aca="false">H1108-J1108</f>
        <v>8.7</v>
      </c>
    </row>
    <row r="1109" customFormat="false" ht="15" hidden="false" customHeight="false" outlineLevel="0" collapsed="false">
      <c r="A1109" s="41" t="n">
        <v>46273</v>
      </c>
      <c r="B1109" s="42" t="n">
        <f aca="false">DATE(YEAR(A1109),MONTH(A1109),1)</f>
        <v>46266</v>
      </c>
      <c r="C1109" s="3" t="s">
        <v>57</v>
      </c>
      <c r="D1109" s="3" t="s">
        <v>58</v>
      </c>
      <c r="E1109" s="3" t="s">
        <v>27</v>
      </c>
      <c r="F1109" s="3" t="n">
        <v>5</v>
      </c>
      <c r="G1109" s="36" t="n">
        <v>1.5</v>
      </c>
      <c r="H1109" s="36" t="n">
        <f aca="false">F1109*G1109</f>
        <v>7.5</v>
      </c>
      <c r="I1109" s="36" t="n">
        <f aca="false">INDEX(Inventory!$D$2:$D$17,MATCH(C1109,Inventory!$A$2:$A$17,0))</f>
        <v>0.9</v>
      </c>
      <c r="J1109" s="36" t="n">
        <f aca="false">F1109*I1109</f>
        <v>4.5</v>
      </c>
      <c r="K1109" s="36" t="n">
        <f aca="false">H1109-J1109</f>
        <v>3</v>
      </c>
    </row>
    <row r="1110" customFormat="false" ht="15" hidden="false" customHeight="false" outlineLevel="0" collapsed="false">
      <c r="A1110" s="41" t="n">
        <v>46273</v>
      </c>
      <c r="B1110" s="42" t="n">
        <f aca="false">DATE(YEAR(A1110),MONTH(A1110),1)</f>
        <v>46266</v>
      </c>
      <c r="C1110" s="3" t="s">
        <v>41</v>
      </c>
      <c r="D1110" s="3" t="s">
        <v>42</v>
      </c>
      <c r="E1110" s="3" t="s">
        <v>28</v>
      </c>
      <c r="F1110" s="3" t="n">
        <v>18</v>
      </c>
      <c r="G1110" s="36" t="n">
        <v>1.3</v>
      </c>
      <c r="H1110" s="36" t="n">
        <f aca="false">F1110*G1110</f>
        <v>23.4</v>
      </c>
      <c r="I1110" s="36" t="n">
        <f aca="false">INDEX(Inventory!$D$2:$D$17,MATCH(C1110,Inventory!$A$2:$A$17,0))</f>
        <v>0.8</v>
      </c>
      <c r="J1110" s="36" t="n">
        <f aca="false">F1110*I1110</f>
        <v>14.4</v>
      </c>
      <c r="K1110" s="36" t="n">
        <f aca="false">H1110-J1110</f>
        <v>9</v>
      </c>
    </row>
    <row r="1111" customFormat="false" ht="15" hidden="false" customHeight="false" outlineLevel="0" collapsed="false">
      <c r="A1111" s="41" t="n">
        <v>46273</v>
      </c>
      <c r="B1111" s="42" t="n">
        <f aca="false">DATE(YEAR(A1111),MONTH(A1111),1)</f>
        <v>46266</v>
      </c>
      <c r="C1111" s="3" t="s">
        <v>63</v>
      </c>
      <c r="D1111" s="3" t="s">
        <v>64</v>
      </c>
      <c r="E1111" s="3" t="s">
        <v>28</v>
      </c>
      <c r="F1111" s="3" t="n">
        <v>13</v>
      </c>
      <c r="G1111" s="36" t="n">
        <v>0.9</v>
      </c>
      <c r="H1111" s="36" t="n">
        <f aca="false">F1111*G1111</f>
        <v>11.7</v>
      </c>
      <c r="I1111" s="36" t="n">
        <f aca="false">INDEX(Inventory!$D$2:$D$17,MATCH(C1111,Inventory!$A$2:$A$17,0))</f>
        <v>0.5</v>
      </c>
      <c r="J1111" s="36" t="n">
        <f aca="false">F1111*I1111</f>
        <v>6.5</v>
      </c>
      <c r="K1111" s="36" t="n">
        <f aca="false">H1111-J1111</f>
        <v>5.2</v>
      </c>
    </row>
    <row r="1112" customFormat="false" ht="15" hidden="false" customHeight="false" outlineLevel="0" collapsed="false">
      <c r="A1112" s="41" t="n">
        <v>46273</v>
      </c>
      <c r="B1112" s="42" t="n">
        <f aca="false">DATE(YEAR(A1112),MONTH(A1112),1)</f>
        <v>46266</v>
      </c>
      <c r="C1112" s="3" t="s">
        <v>49</v>
      </c>
      <c r="D1112" s="3" t="s">
        <v>50</v>
      </c>
      <c r="E1112" s="3" t="s">
        <v>28</v>
      </c>
      <c r="F1112" s="3" t="n">
        <v>15</v>
      </c>
      <c r="G1112" s="36" t="n">
        <v>1.2</v>
      </c>
      <c r="H1112" s="36" t="n">
        <f aca="false">F1112*G1112</f>
        <v>18</v>
      </c>
      <c r="I1112" s="36" t="n">
        <f aca="false">INDEX(Inventory!$D$2:$D$17,MATCH(C1112,Inventory!$A$2:$A$17,0))</f>
        <v>0.7</v>
      </c>
      <c r="J1112" s="36" t="n">
        <f aca="false">F1112*I1112</f>
        <v>10.5</v>
      </c>
      <c r="K1112" s="36" t="n">
        <f aca="false">H1112-J1112</f>
        <v>7.5</v>
      </c>
    </row>
    <row r="1113" customFormat="false" ht="15" hidden="false" customHeight="false" outlineLevel="0" collapsed="false">
      <c r="A1113" s="41" t="n">
        <v>46273</v>
      </c>
      <c r="B1113" s="42" t="n">
        <f aca="false">DATE(YEAR(A1113),MONTH(A1113),1)</f>
        <v>46266</v>
      </c>
      <c r="C1113" s="3" t="s">
        <v>51</v>
      </c>
      <c r="D1113" s="3" t="s">
        <v>52</v>
      </c>
      <c r="E1113" s="3" t="s">
        <v>28</v>
      </c>
      <c r="F1113" s="3" t="n">
        <v>22</v>
      </c>
      <c r="G1113" s="36" t="n">
        <v>0.85</v>
      </c>
      <c r="H1113" s="36" t="n">
        <f aca="false">F1113*G1113</f>
        <v>18.7</v>
      </c>
      <c r="I1113" s="36" t="n">
        <f aca="false">INDEX(Inventory!$D$2:$D$17,MATCH(C1113,Inventory!$A$2:$A$17,0))</f>
        <v>0.45</v>
      </c>
      <c r="J1113" s="36" t="n">
        <f aca="false">F1113*I1113</f>
        <v>9.9</v>
      </c>
      <c r="K1113" s="36" t="n">
        <f aca="false">H1113-J1113</f>
        <v>8.8</v>
      </c>
    </row>
    <row r="1114" customFormat="false" ht="15" hidden="false" customHeight="false" outlineLevel="0" collapsed="false">
      <c r="A1114" s="41" t="n">
        <v>46273</v>
      </c>
      <c r="B1114" s="42" t="n">
        <f aca="false">DATE(YEAR(A1114),MONTH(A1114),1)</f>
        <v>46266</v>
      </c>
      <c r="C1114" s="3" t="s">
        <v>37</v>
      </c>
      <c r="D1114" s="3" t="s">
        <v>38</v>
      </c>
      <c r="E1114" s="3" t="s">
        <v>26</v>
      </c>
      <c r="F1114" s="3" t="n">
        <v>24</v>
      </c>
      <c r="G1114" s="36" t="n">
        <v>1.2</v>
      </c>
      <c r="H1114" s="36" t="n">
        <f aca="false">F1114*G1114</f>
        <v>28.8</v>
      </c>
      <c r="I1114" s="36" t="n">
        <f aca="false">INDEX(Inventory!$D$2:$D$17,MATCH(C1114,Inventory!$A$2:$A$17,0))</f>
        <v>0.85</v>
      </c>
      <c r="J1114" s="36" t="n">
        <f aca="false">F1114*I1114</f>
        <v>20.4</v>
      </c>
      <c r="K1114" s="36" t="n">
        <f aca="false">H1114-J1114</f>
        <v>8.4</v>
      </c>
    </row>
    <row r="1115" customFormat="false" ht="15" hidden="false" customHeight="false" outlineLevel="0" collapsed="false">
      <c r="A1115" s="41" t="n">
        <v>46273</v>
      </c>
      <c r="B1115" s="42" t="n">
        <f aca="false">DATE(YEAR(A1115),MONTH(A1115),1)</f>
        <v>46266</v>
      </c>
      <c r="C1115" s="3" t="s">
        <v>47</v>
      </c>
      <c r="D1115" s="3" t="s">
        <v>48</v>
      </c>
      <c r="E1115" s="3" t="s">
        <v>26</v>
      </c>
      <c r="F1115" s="3" t="n">
        <v>9</v>
      </c>
      <c r="G1115" s="36" t="n">
        <v>2.2</v>
      </c>
      <c r="H1115" s="36" t="n">
        <f aca="false">F1115*G1115</f>
        <v>19.8</v>
      </c>
      <c r="I1115" s="36" t="n">
        <f aca="false">INDEX(Inventory!$D$2:$D$17,MATCH(C1115,Inventory!$A$2:$A$17,0))</f>
        <v>1.4</v>
      </c>
      <c r="J1115" s="36" t="n">
        <f aca="false">F1115*I1115</f>
        <v>12.6</v>
      </c>
      <c r="K1115" s="36" t="n">
        <f aca="false">H1115-J1115</f>
        <v>7.2</v>
      </c>
    </row>
    <row r="1116" customFormat="false" ht="15" hidden="false" customHeight="false" outlineLevel="0" collapsed="false">
      <c r="A1116" s="41" t="n">
        <v>46273</v>
      </c>
      <c r="B1116" s="42" t="n">
        <f aca="false">DATE(YEAR(A1116),MONTH(A1116),1)</f>
        <v>46266</v>
      </c>
      <c r="C1116" s="3" t="s">
        <v>43</v>
      </c>
      <c r="D1116" s="3" t="s">
        <v>44</v>
      </c>
      <c r="E1116" s="3" t="s">
        <v>26</v>
      </c>
      <c r="F1116" s="3" t="n">
        <v>10</v>
      </c>
      <c r="G1116" s="36" t="n">
        <v>3.8</v>
      </c>
      <c r="H1116" s="36" t="n">
        <f aca="false">F1116*G1116</f>
        <v>38</v>
      </c>
      <c r="I1116" s="36" t="n">
        <f aca="false">INDEX(Inventory!$D$2:$D$17,MATCH(C1116,Inventory!$A$2:$A$17,0))</f>
        <v>2.6</v>
      </c>
      <c r="J1116" s="36" t="n">
        <f aca="false">F1116*I1116</f>
        <v>26</v>
      </c>
      <c r="K1116" s="36" t="n">
        <f aca="false">H1116-J1116</f>
        <v>12</v>
      </c>
    </row>
    <row r="1117" customFormat="false" ht="15" hidden="false" customHeight="false" outlineLevel="0" collapsed="false">
      <c r="A1117" s="41" t="n">
        <v>46273</v>
      </c>
      <c r="B1117" s="42" t="n">
        <f aca="false">DATE(YEAR(A1117),MONTH(A1117),1)</f>
        <v>46266</v>
      </c>
      <c r="C1117" s="3" t="s">
        <v>67</v>
      </c>
      <c r="D1117" s="3" t="s">
        <v>68</v>
      </c>
      <c r="E1117" s="3" t="s">
        <v>26</v>
      </c>
      <c r="F1117" s="3" t="n">
        <v>8</v>
      </c>
      <c r="G1117" s="36" t="n">
        <v>1.9</v>
      </c>
      <c r="H1117" s="36" t="n">
        <f aca="false">F1117*G1117</f>
        <v>15.2</v>
      </c>
      <c r="I1117" s="36" t="n">
        <f aca="false">INDEX(Inventory!$D$2:$D$17,MATCH(C1117,Inventory!$A$2:$A$17,0))</f>
        <v>1.3</v>
      </c>
      <c r="J1117" s="36" t="n">
        <f aca="false">F1117*I1117</f>
        <v>10.4</v>
      </c>
      <c r="K1117" s="36" t="n">
        <f aca="false">H1117-J1117</f>
        <v>4.8</v>
      </c>
    </row>
    <row r="1118" customFormat="false" ht="15" hidden="false" customHeight="false" outlineLevel="0" collapsed="false">
      <c r="A1118" s="41" t="n">
        <v>46273</v>
      </c>
      <c r="B1118" s="42" t="n">
        <f aca="false">DATE(YEAR(A1118),MONTH(A1118),1)</f>
        <v>46266</v>
      </c>
      <c r="C1118" s="3" t="s">
        <v>61</v>
      </c>
      <c r="D1118" s="3" t="s">
        <v>62</v>
      </c>
      <c r="E1118" s="3" t="s">
        <v>29</v>
      </c>
      <c r="F1118" s="3" t="n">
        <v>7</v>
      </c>
      <c r="G1118" s="36" t="n">
        <v>1.9</v>
      </c>
      <c r="H1118" s="36" t="n">
        <f aca="false">F1118*G1118</f>
        <v>13.3</v>
      </c>
      <c r="I1118" s="36" t="n">
        <f aca="false">INDEX(Inventory!$D$2:$D$17,MATCH(C1118,Inventory!$A$2:$A$17,0))</f>
        <v>1.1</v>
      </c>
      <c r="J1118" s="36" t="n">
        <f aca="false">F1118*I1118</f>
        <v>7.7</v>
      </c>
      <c r="K1118" s="36" t="n">
        <f aca="false">H1118-J1118</f>
        <v>5.6</v>
      </c>
    </row>
    <row r="1119" customFormat="false" ht="15" hidden="false" customHeight="false" outlineLevel="0" collapsed="false">
      <c r="A1119" s="41" t="n">
        <v>46273</v>
      </c>
      <c r="B1119" s="42" t="n">
        <f aca="false">DATE(YEAR(A1119),MONTH(A1119),1)</f>
        <v>46266</v>
      </c>
      <c r="C1119" s="3" t="s">
        <v>45</v>
      </c>
      <c r="D1119" s="3" t="s">
        <v>46</v>
      </c>
      <c r="E1119" s="3" t="s">
        <v>29</v>
      </c>
      <c r="F1119" s="3" t="n">
        <v>7</v>
      </c>
      <c r="G1119" s="36" t="n">
        <v>5.2</v>
      </c>
      <c r="H1119" s="36" t="n">
        <f aca="false">F1119*G1119</f>
        <v>36.4</v>
      </c>
      <c r="I1119" s="36" t="n">
        <f aca="false">INDEX(Inventory!$D$2:$D$17,MATCH(C1119,Inventory!$A$2:$A$17,0))</f>
        <v>3.5</v>
      </c>
      <c r="J1119" s="36" t="n">
        <f aca="false">F1119*I1119</f>
        <v>24.5</v>
      </c>
      <c r="K1119" s="36" t="n">
        <f aca="false">H1119-J1119</f>
        <v>11.9</v>
      </c>
    </row>
    <row r="1120" customFormat="false" ht="15" hidden="false" customHeight="false" outlineLevel="0" collapsed="false">
      <c r="A1120" s="41" t="n">
        <v>46273</v>
      </c>
      <c r="B1120" s="42" t="n">
        <f aca="false">DATE(YEAR(A1120),MONTH(A1120),1)</f>
        <v>46266</v>
      </c>
      <c r="C1120" s="3" t="s">
        <v>65</v>
      </c>
      <c r="D1120" s="3" t="s">
        <v>66</v>
      </c>
      <c r="E1120" s="3" t="s">
        <v>29</v>
      </c>
      <c r="F1120" s="3" t="n">
        <v>5</v>
      </c>
      <c r="G1120" s="36" t="n">
        <v>1.5</v>
      </c>
      <c r="H1120" s="36" t="n">
        <f aca="false">F1120*G1120</f>
        <v>7.5</v>
      </c>
      <c r="I1120" s="36" t="n">
        <f aca="false">INDEX(Inventory!$D$2:$D$17,MATCH(C1120,Inventory!$A$2:$A$17,0))</f>
        <v>0.9</v>
      </c>
      <c r="J1120" s="36" t="n">
        <f aca="false">F1120*I1120</f>
        <v>4.5</v>
      </c>
      <c r="K1120" s="36" t="n">
        <f aca="false">H1120-J1120</f>
        <v>3</v>
      </c>
    </row>
    <row r="1121" customFormat="false" ht="15" hidden="false" customHeight="false" outlineLevel="0" collapsed="false">
      <c r="A1121" s="41" t="n">
        <v>46273</v>
      </c>
      <c r="B1121" s="42" t="n">
        <f aca="false">DATE(YEAR(A1121),MONTH(A1121),1)</f>
        <v>46266</v>
      </c>
      <c r="C1121" s="3" t="s">
        <v>55</v>
      </c>
      <c r="D1121" s="3" t="s">
        <v>56</v>
      </c>
      <c r="E1121" s="3" t="s">
        <v>29</v>
      </c>
      <c r="F1121" s="3" t="n">
        <v>6</v>
      </c>
      <c r="G1121" s="36" t="n">
        <v>2.5</v>
      </c>
      <c r="H1121" s="36" t="n">
        <f aca="false">F1121*G1121</f>
        <v>15</v>
      </c>
      <c r="I1121" s="36" t="n">
        <f aca="false">INDEX(Inventory!$D$2:$D$17,MATCH(C1121,Inventory!$A$2:$A$17,0))</f>
        <v>1.6</v>
      </c>
      <c r="J1121" s="36" t="n">
        <f aca="false">F1121*I1121</f>
        <v>9.6</v>
      </c>
      <c r="K1121" s="36" t="n">
        <f aca="false">H1121-J1121</f>
        <v>5.4</v>
      </c>
    </row>
    <row r="1122" customFormat="false" ht="15" hidden="false" customHeight="false" outlineLevel="0" collapsed="false">
      <c r="A1122" s="41" t="n">
        <v>46274</v>
      </c>
      <c r="B1122" s="42" t="n">
        <f aca="false">DATE(YEAR(A1122),MONTH(A1122),1)</f>
        <v>46266</v>
      </c>
      <c r="C1122" s="3" t="s">
        <v>39</v>
      </c>
      <c r="D1122" s="3" t="s">
        <v>40</v>
      </c>
      <c r="E1122" s="3" t="s">
        <v>27</v>
      </c>
      <c r="F1122" s="3" t="n">
        <v>38</v>
      </c>
      <c r="G1122" s="36" t="n">
        <v>1</v>
      </c>
      <c r="H1122" s="36" t="n">
        <f aca="false">F1122*G1122</f>
        <v>38</v>
      </c>
      <c r="I1122" s="36" t="n">
        <f aca="false">INDEX(Inventory!$D$2:$D$17,MATCH(C1122,Inventory!$A$2:$A$17,0))</f>
        <v>0.6</v>
      </c>
      <c r="J1122" s="36" t="n">
        <f aca="false">F1122*I1122</f>
        <v>22.8</v>
      </c>
      <c r="K1122" s="36" t="n">
        <f aca="false">H1122-J1122</f>
        <v>15.2</v>
      </c>
    </row>
    <row r="1123" customFormat="false" ht="15" hidden="false" customHeight="false" outlineLevel="0" collapsed="false">
      <c r="A1123" s="41" t="n">
        <v>46274</v>
      </c>
      <c r="B1123" s="42" t="n">
        <f aca="false">DATE(YEAR(A1123),MONTH(A1123),1)</f>
        <v>46266</v>
      </c>
      <c r="C1123" s="3" t="s">
        <v>53</v>
      </c>
      <c r="D1123" s="3" t="s">
        <v>54</v>
      </c>
      <c r="E1123" s="3" t="s">
        <v>27</v>
      </c>
      <c r="F1123" s="3" t="n">
        <v>9</v>
      </c>
      <c r="G1123" s="36" t="n">
        <v>0.95</v>
      </c>
      <c r="H1123" s="36" t="n">
        <f aca="false">F1123*G1123</f>
        <v>8.55</v>
      </c>
      <c r="I1123" s="36" t="n">
        <f aca="false">INDEX(Inventory!$D$2:$D$17,MATCH(C1123,Inventory!$A$2:$A$17,0))</f>
        <v>0.55</v>
      </c>
      <c r="J1123" s="36" t="n">
        <f aca="false">F1123*I1123</f>
        <v>4.95</v>
      </c>
      <c r="K1123" s="36" t="n">
        <f aca="false">H1123-J1123</f>
        <v>3.6</v>
      </c>
    </row>
    <row r="1124" customFormat="false" ht="15" hidden="false" customHeight="false" outlineLevel="0" collapsed="false">
      <c r="A1124" s="41" t="n">
        <v>46274</v>
      </c>
      <c r="B1124" s="42" t="n">
        <f aca="false">DATE(YEAR(A1124),MONTH(A1124),1)</f>
        <v>46266</v>
      </c>
      <c r="C1124" s="3" t="s">
        <v>59</v>
      </c>
      <c r="D1124" s="3" t="s">
        <v>60</v>
      </c>
      <c r="E1124" s="3" t="s">
        <v>27</v>
      </c>
      <c r="F1124" s="3" t="n">
        <v>37</v>
      </c>
      <c r="G1124" s="36" t="n">
        <v>0.6</v>
      </c>
      <c r="H1124" s="36" t="n">
        <f aca="false">F1124*G1124</f>
        <v>22.2</v>
      </c>
      <c r="I1124" s="36" t="n">
        <f aca="false">INDEX(Inventory!$D$2:$D$17,MATCH(C1124,Inventory!$A$2:$A$17,0))</f>
        <v>0.3</v>
      </c>
      <c r="J1124" s="36" t="n">
        <f aca="false">F1124*I1124</f>
        <v>11.1</v>
      </c>
      <c r="K1124" s="36" t="n">
        <f aca="false">H1124-J1124</f>
        <v>11.1</v>
      </c>
    </row>
    <row r="1125" customFormat="false" ht="15" hidden="false" customHeight="false" outlineLevel="0" collapsed="false">
      <c r="A1125" s="41" t="n">
        <v>46274</v>
      </c>
      <c r="B1125" s="42" t="n">
        <f aca="false">DATE(YEAR(A1125),MONTH(A1125),1)</f>
        <v>46266</v>
      </c>
      <c r="C1125" s="3" t="s">
        <v>57</v>
      </c>
      <c r="D1125" s="3" t="s">
        <v>58</v>
      </c>
      <c r="E1125" s="3" t="s">
        <v>27</v>
      </c>
      <c r="F1125" s="3" t="n">
        <v>9</v>
      </c>
      <c r="G1125" s="36" t="n">
        <v>1.5</v>
      </c>
      <c r="H1125" s="36" t="n">
        <f aca="false">F1125*G1125</f>
        <v>13.5</v>
      </c>
      <c r="I1125" s="36" t="n">
        <f aca="false">INDEX(Inventory!$D$2:$D$17,MATCH(C1125,Inventory!$A$2:$A$17,0))</f>
        <v>0.9</v>
      </c>
      <c r="J1125" s="36" t="n">
        <f aca="false">F1125*I1125</f>
        <v>8.1</v>
      </c>
      <c r="K1125" s="36" t="n">
        <f aca="false">H1125-J1125</f>
        <v>5.4</v>
      </c>
    </row>
    <row r="1126" customFormat="false" ht="15" hidden="false" customHeight="false" outlineLevel="0" collapsed="false">
      <c r="A1126" s="41" t="n">
        <v>46274</v>
      </c>
      <c r="B1126" s="42" t="n">
        <f aca="false">DATE(YEAR(A1126),MONTH(A1126),1)</f>
        <v>46266</v>
      </c>
      <c r="C1126" s="3" t="s">
        <v>41</v>
      </c>
      <c r="D1126" s="3" t="s">
        <v>42</v>
      </c>
      <c r="E1126" s="3" t="s">
        <v>28</v>
      </c>
      <c r="F1126" s="3" t="n">
        <v>21</v>
      </c>
      <c r="G1126" s="36" t="n">
        <v>1.3</v>
      </c>
      <c r="H1126" s="36" t="n">
        <f aca="false">F1126*G1126</f>
        <v>27.3</v>
      </c>
      <c r="I1126" s="36" t="n">
        <f aca="false">INDEX(Inventory!$D$2:$D$17,MATCH(C1126,Inventory!$A$2:$A$17,0))</f>
        <v>0.8</v>
      </c>
      <c r="J1126" s="36" t="n">
        <f aca="false">F1126*I1126</f>
        <v>16.8</v>
      </c>
      <c r="K1126" s="36" t="n">
        <f aca="false">H1126-J1126</f>
        <v>10.5</v>
      </c>
    </row>
    <row r="1127" customFormat="false" ht="15" hidden="false" customHeight="false" outlineLevel="0" collapsed="false">
      <c r="A1127" s="41" t="n">
        <v>46274</v>
      </c>
      <c r="B1127" s="42" t="n">
        <f aca="false">DATE(YEAR(A1127),MONTH(A1127),1)</f>
        <v>46266</v>
      </c>
      <c r="C1127" s="3" t="s">
        <v>63</v>
      </c>
      <c r="D1127" s="3" t="s">
        <v>64</v>
      </c>
      <c r="E1127" s="3" t="s">
        <v>28</v>
      </c>
      <c r="F1127" s="3" t="n">
        <v>14</v>
      </c>
      <c r="G1127" s="36" t="n">
        <v>0.9</v>
      </c>
      <c r="H1127" s="36" t="n">
        <f aca="false">F1127*G1127</f>
        <v>12.6</v>
      </c>
      <c r="I1127" s="36" t="n">
        <f aca="false">INDEX(Inventory!$D$2:$D$17,MATCH(C1127,Inventory!$A$2:$A$17,0))</f>
        <v>0.5</v>
      </c>
      <c r="J1127" s="36" t="n">
        <f aca="false">F1127*I1127</f>
        <v>7</v>
      </c>
      <c r="K1127" s="36" t="n">
        <f aca="false">H1127-J1127</f>
        <v>5.6</v>
      </c>
    </row>
    <row r="1128" customFormat="false" ht="15" hidden="false" customHeight="false" outlineLevel="0" collapsed="false">
      <c r="A1128" s="41" t="n">
        <v>46274</v>
      </c>
      <c r="B1128" s="42" t="n">
        <f aca="false">DATE(YEAR(A1128),MONTH(A1128),1)</f>
        <v>46266</v>
      </c>
      <c r="C1128" s="3" t="s">
        <v>49</v>
      </c>
      <c r="D1128" s="3" t="s">
        <v>50</v>
      </c>
      <c r="E1128" s="3" t="s">
        <v>28</v>
      </c>
      <c r="F1128" s="3" t="n">
        <v>24</v>
      </c>
      <c r="G1128" s="36" t="n">
        <v>1.2</v>
      </c>
      <c r="H1128" s="36" t="n">
        <f aca="false">F1128*G1128</f>
        <v>28.8</v>
      </c>
      <c r="I1128" s="36" t="n">
        <f aca="false">INDEX(Inventory!$D$2:$D$17,MATCH(C1128,Inventory!$A$2:$A$17,0))</f>
        <v>0.7</v>
      </c>
      <c r="J1128" s="36" t="n">
        <f aca="false">F1128*I1128</f>
        <v>16.8</v>
      </c>
      <c r="K1128" s="36" t="n">
        <f aca="false">H1128-J1128</f>
        <v>12</v>
      </c>
    </row>
    <row r="1129" customFormat="false" ht="15" hidden="false" customHeight="false" outlineLevel="0" collapsed="false">
      <c r="A1129" s="41" t="n">
        <v>46274</v>
      </c>
      <c r="B1129" s="42" t="n">
        <f aca="false">DATE(YEAR(A1129),MONTH(A1129),1)</f>
        <v>46266</v>
      </c>
      <c r="C1129" s="3" t="s">
        <v>51</v>
      </c>
      <c r="D1129" s="3" t="s">
        <v>52</v>
      </c>
      <c r="E1129" s="3" t="s">
        <v>28</v>
      </c>
      <c r="F1129" s="3" t="n">
        <v>19</v>
      </c>
      <c r="G1129" s="36" t="n">
        <v>0.85</v>
      </c>
      <c r="H1129" s="36" t="n">
        <f aca="false">F1129*G1129</f>
        <v>16.15</v>
      </c>
      <c r="I1129" s="36" t="n">
        <f aca="false">INDEX(Inventory!$D$2:$D$17,MATCH(C1129,Inventory!$A$2:$A$17,0))</f>
        <v>0.45</v>
      </c>
      <c r="J1129" s="36" t="n">
        <f aca="false">F1129*I1129</f>
        <v>8.55</v>
      </c>
      <c r="K1129" s="36" t="n">
        <f aca="false">H1129-J1129</f>
        <v>7.6</v>
      </c>
    </row>
    <row r="1130" customFormat="false" ht="15" hidden="false" customHeight="false" outlineLevel="0" collapsed="false">
      <c r="A1130" s="41" t="n">
        <v>46274</v>
      </c>
      <c r="B1130" s="42" t="n">
        <f aca="false">DATE(YEAR(A1130),MONTH(A1130),1)</f>
        <v>46266</v>
      </c>
      <c r="C1130" s="3" t="s">
        <v>37</v>
      </c>
      <c r="D1130" s="3" t="s">
        <v>38</v>
      </c>
      <c r="E1130" s="3" t="s">
        <v>26</v>
      </c>
      <c r="F1130" s="3" t="n">
        <v>26</v>
      </c>
      <c r="G1130" s="36" t="n">
        <v>1.2</v>
      </c>
      <c r="H1130" s="36" t="n">
        <f aca="false">F1130*G1130</f>
        <v>31.2</v>
      </c>
      <c r="I1130" s="36" t="n">
        <f aca="false">INDEX(Inventory!$D$2:$D$17,MATCH(C1130,Inventory!$A$2:$A$17,0))</f>
        <v>0.85</v>
      </c>
      <c r="J1130" s="36" t="n">
        <f aca="false">F1130*I1130</f>
        <v>22.1</v>
      </c>
      <c r="K1130" s="36" t="n">
        <f aca="false">H1130-J1130</f>
        <v>9.1</v>
      </c>
    </row>
    <row r="1131" customFormat="false" ht="15" hidden="false" customHeight="false" outlineLevel="0" collapsed="false">
      <c r="A1131" s="41" t="n">
        <v>46274</v>
      </c>
      <c r="B1131" s="42" t="n">
        <f aca="false">DATE(YEAR(A1131),MONTH(A1131),1)</f>
        <v>46266</v>
      </c>
      <c r="C1131" s="3" t="s">
        <v>47</v>
      </c>
      <c r="D1131" s="3" t="s">
        <v>48</v>
      </c>
      <c r="E1131" s="3" t="s">
        <v>26</v>
      </c>
      <c r="F1131" s="3" t="n">
        <v>12</v>
      </c>
      <c r="G1131" s="36" t="n">
        <v>2.2</v>
      </c>
      <c r="H1131" s="36" t="n">
        <f aca="false">F1131*G1131</f>
        <v>26.4</v>
      </c>
      <c r="I1131" s="36" t="n">
        <f aca="false">INDEX(Inventory!$D$2:$D$17,MATCH(C1131,Inventory!$A$2:$A$17,0))</f>
        <v>1.4</v>
      </c>
      <c r="J1131" s="36" t="n">
        <f aca="false">F1131*I1131</f>
        <v>16.8</v>
      </c>
      <c r="K1131" s="36" t="n">
        <f aca="false">H1131-J1131</f>
        <v>9.60000000000001</v>
      </c>
    </row>
    <row r="1132" customFormat="false" ht="15" hidden="false" customHeight="false" outlineLevel="0" collapsed="false">
      <c r="A1132" s="41" t="n">
        <v>46274</v>
      </c>
      <c r="B1132" s="42" t="n">
        <f aca="false">DATE(YEAR(A1132),MONTH(A1132),1)</f>
        <v>46266</v>
      </c>
      <c r="C1132" s="3" t="s">
        <v>43</v>
      </c>
      <c r="D1132" s="3" t="s">
        <v>44</v>
      </c>
      <c r="E1132" s="3" t="s">
        <v>26</v>
      </c>
      <c r="F1132" s="3" t="n">
        <v>7</v>
      </c>
      <c r="G1132" s="36" t="n">
        <v>3.8</v>
      </c>
      <c r="H1132" s="36" t="n">
        <f aca="false">F1132*G1132</f>
        <v>26.6</v>
      </c>
      <c r="I1132" s="36" t="n">
        <f aca="false">INDEX(Inventory!$D$2:$D$17,MATCH(C1132,Inventory!$A$2:$A$17,0))</f>
        <v>2.6</v>
      </c>
      <c r="J1132" s="36" t="n">
        <f aca="false">F1132*I1132</f>
        <v>18.2</v>
      </c>
      <c r="K1132" s="36" t="n">
        <f aca="false">H1132-J1132</f>
        <v>8.4</v>
      </c>
    </row>
    <row r="1133" customFormat="false" ht="15" hidden="false" customHeight="false" outlineLevel="0" collapsed="false">
      <c r="A1133" s="41" t="n">
        <v>46274</v>
      </c>
      <c r="B1133" s="42" t="n">
        <f aca="false">DATE(YEAR(A1133),MONTH(A1133),1)</f>
        <v>46266</v>
      </c>
      <c r="C1133" s="3" t="s">
        <v>67</v>
      </c>
      <c r="D1133" s="3" t="s">
        <v>68</v>
      </c>
      <c r="E1133" s="3" t="s">
        <v>26</v>
      </c>
      <c r="F1133" s="3" t="n">
        <v>5</v>
      </c>
      <c r="G1133" s="36" t="n">
        <v>1.9</v>
      </c>
      <c r="H1133" s="36" t="n">
        <f aca="false">F1133*G1133</f>
        <v>9.5</v>
      </c>
      <c r="I1133" s="36" t="n">
        <f aca="false">INDEX(Inventory!$D$2:$D$17,MATCH(C1133,Inventory!$A$2:$A$17,0))</f>
        <v>1.3</v>
      </c>
      <c r="J1133" s="36" t="n">
        <f aca="false">F1133*I1133</f>
        <v>6.5</v>
      </c>
      <c r="K1133" s="36" t="n">
        <f aca="false">H1133-J1133</f>
        <v>3</v>
      </c>
    </row>
    <row r="1134" customFormat="false" ht="15" hidden="false" customHeight="false" outlineLevel="0" collapsed="false">
      <c r="A1134" s="41" t="n">
        <v>46274</v>
      </c>
      <c r="B1134" s="42" t="n">
        <f aca="false">DATE(YEAR(A1134),MONTH(A1134),1)</f>
        <v>46266</v>
      </c>
      <c r="C1134" s="3" t="s">
        <v>61</v>
      </c>
      <c r="D1134" s="3" t="s">
        <v>62</v>
      </c>
      <c r="E1134" s="3" t="s">
        <v>29</v>
      </c>
      <c r="F1134" s="3" t="n">
        <v>10</v>
      </c>
      <c r="G1134" s="36" t="n">
        <v>1.9</v>
      </c>
      <c r="H1134" s="36" t="n">
        <f aca="false">F1134*G1134</f>
        <v>19</v>
      </c>
      <c r="I1134" s="36" t="n">
        <f aca="false">INDEX(Inventory!$D$2:$D$17,MATCH(C1134,Inventory!$A$2:$A$17,0))</f>
        <v>1.1</v>
      </c>
      <c r="J1134" s="36" t="n">
        <f aca="false">F1134*I1134</f>
        <v>11</v>
      </c>
      <c r="K1134" s="36" t="n">
        <f aca="false">H1134-J1134</f>
        <v>8</v>
      </c>
    </row>
    <row r="1135" customFormat="false" ht="15" hidden="false" customHeight="false" outlineLevel="0" collapsed="false">
      <c r="A1135" s="41" t="n">
        <v>46274</v>
      </c>
      <c r="B1135" s="42" t="n">
        <f aca="false">DATE(YEAR(A1135),MONTH(A1135),1)</f>
        <v>46266</v>
      </c>
      <c r="C1135" s="3" t="s">
        <v>45</v>
      </c>
      <c r="D1135" s="3" t="s">
        <v>46</v>
      </c>
      <c r="E1135" s="3" t="s">
        <v>29</v>
      </c>
      <c r="F1135" s="3" t="n">
        <v>6</v>
      </c>
      <c r="G1135" s="36" t="n">
        <v>5.2</v>
      </c>
      <c r="H1135" s="36" t="n">
        <f aca="false">F1135*G1135</f>
        <v>31.2</v>
      </c>
      <c r="I1135" s="36" t="n">
        <f aca="false">INDEX(Inventory!$D$2:$D$17,MATCH(C1135,Inventory!$A$2:$A$17,0))</f>
        <v>3.5</v>
      </c>
      <c r="J1135" s="36" t="n">
        <f aca="false">F1135*I1135</f>
        <v>21</v>
      </c>
      <c r="K1135" s="36" t="n">
        <f aca="false">H1135-J1135</f>
        <v>10.2</v>
      </c>
    </row>
    <row r="1136" customFormat="false" ht="15" hidden="false" customHeight="false" outlineLevel="0" collapsed="false">
      <c r="A1136" s="41" t="n">
        <v>46274</v>
      </c>
      <c r="B1136" s="42" t="n">
        <f aca="false">DATE(YEAR(A1136),MONTH(A1136),1)</f>
        <v>46266</v>
      </c>
      <c r="C1136" s="3" t="s">
        <v>65</v>
      </c>
      <c r="D1136" s="3" t="s">
        <v>66</v>
      </c>
      <c r="E1136" s="3" t="s">
        <v>29</v>
      </c>
      <c r="F1136" s="3" t="n">
        <v>10</v>
      </c>
      <c r="G1136" s="36" t="n">
        <v>1.5</v>
      </c>
      <c r="H1136" s="36" t="n">
        <f aca="false">F1136*G1136</f>
        <v>15</v>
      </c>
      <c r="I1136" s="36" t="n">
        <f aca="false">INDEX(Inventory!$D$2:$D$17,MATCH(C1136,Inventory!$A$2:$A$17,0))</f>
        <v>0.9</v>
      </c>
      <c r="J1136" s="36" t="n">
        <f aca="false">F1136*I1136</f>
        <v>9</v>
      </c>
      <c r="K1136" s="36" t="n">
        <f aca="false">H1136-J1136</f>
        <v>6</v>
      </c>
    </row>
    <row r="1137" customFormat="false" ht="15" hidden="false" customHeight="false" outlineLevel="0" collapsed="false">
      <c r="A1137" s="41" t="n">
        <v>46274</v>
      </c>
      <c r="B1137" s="42" t="n">
        <f aca="false">DATE(YEAR(A1137),MONTH(A1137),1)</f>
        <v>46266</v>
      </c>
      <c r="C1137" s="3" t="s">
        <v>55</v>
      </c>
      <c r="D1137" s="3" t="s">
        <v>56</v>
      </c>
      <c r="E1137" s="3" t="s">
        <v>29</v>
      </c>
      <c r="F1137" s="3" t="n">
        <v>6</v>
      </c>
      <c r="G1137" s="36" t="n">
        <v>2.5</v>
      </c>
      <c r="H1137" s="36" t="n">
        <f aca="false">F1137*G1137</f>
        <v>15</v>
      </c>
      <c r="I1137" s="36" t="n">
        <f aca="false">INDEX(Inventory!$D$2:$D$17,MATCH(C1137,Inventory!$A$2:$A$17,0))</f>
        <v>1.6</v>
      </c>
      <c r="J1137" s="36" t="n">
        <f aca="false">F1137*I1137</f>
        <v>9.6</v>
      </c>
      <c r="K1137" s="36" t="n">
        <f aca="false">H1137-J1137</f>
        <v>5.4</v>
      </c>
    </row>
    <row r="1138" customFormat="false" ht="15" hidden="false" customHeight="false" outlineLevel="0" collapsed="false">
      <c r="A1138" s="41" t="n">
        <v>46275</v>
      </c>
      <c r="B1138" s="42" t="n">
        <f aca="false">DATE(YEAR(A1138),MONTH(A1138),1)</f>
        <v>46266</v>
      </c>
      <c r="C1138" s="3" t="s">
        <v>39</v>
      </c>
      <c r="D1138" s="3" t="s">
        <v>40</v>
      </c>
      <c r="E1138" s="3" t="s">
        <v>27</v>
      </c>
      <c r="F1138" s="3" t="n">
        <v>25</v>
      </c>
      <c r="G1138" s="36" t="n">
        <v>1</v>
      </c>
      <c r="H1138" s="36" t="n">
        <f aca="false">F1138*G1138</f>
        <v>25</v>
      </c>
      <c r="I1138" s="36" t="n">
        <f aca="false">INDEX(Inventory!$D$2:$D$17,MATCH(C1138,Inventory!$A$2:$A$17,0))</f>
        <v>0.6</v>
      </c>
      <c r="J1138" s="36" t="n">
        <f aca="false">F1138*I1138</f>
        <v>15</v>
      </c>
      <c r="K1138" s="36" t="n">
        <f aca="false">H1138-J1138</f>
        <v>10</v>
      </c>
    </row>
    <row r="1139" customFormat="false" ht="15" hidden="false" customHeight="false" outlineLevel="0" collapsed="false">
      <c r="A1139" s="41" t="n">
        <v>46275</v>
      </c>
      <c r="B1139" s="42" t="n">
        <f aca="false">DATE(YEAR(A1139),MONTH(A1139),1)</f>
        <v>46266</v>
      </c>
      <c r="C1139" s="3" t="s">
        <v>53</v>
      </c>
      <c r="D1139" s="3" t="s">
        <v>54</v>
      </c>
      <c r="E1139" s="3" t="s">
        <v>27</v>
      </c>
      <c r="F1139" s="3" t="n">
        <v>21</v>
      </c>
      <c r="G1139" s="36" t="n">
        <v>0.95</v>
      </c>
      <c r="H1139" s="36" t="n">
        <f aca="false">F1139*G1139</f>
        <v>19.95</v>
      </c>
      <c r="I1139" s="36" t="n">
        <f aca="false">INDEX(Inventory!$D$2:$D$17,MATCH(C1139,Inventory!$A$2:$A$17,0))</f>
        <v>0.55</v>
      </c>
      <c r="J1139" s="36" t="n">
        <f aca="false">F1139*I1139</f>
        <v>11.55</v>
      </c>
      <c r="K1139" s="36" t="n">
        <f aca="false">H1139-J1139</f>
        <v>8.4</v>
      </c>
    </row>
    <row r="1140" customFormat="false" ht="15" hidden="false" customHeight="false" outlineLevel="0" collapsed="false">
      <c r="A1140" s="41" t="n">
        <v>46275</v>
      </c>
      <c r="B1140" s="42" t="n">
        <f aca="false">DATE(YEAR(A1140),MONTH(A1140),1)</f>
        <v>46266</v>
      </c>
      <c r="C1140" s="3" t="s">
        <v>59</v>
      </c>
      <c r="D1140" s="3" t="s">
        <v>60</v>
      </c>
      <c r="E1140" s="3" t="s">
        <v>27</v>
      </c>
      <c r="F1140" s="3" t="n">
        <v>31</v>
      </c>
      <c r="G1140" s="36" t="n">
        <v>0.6</v>
      </c>
      <c r="H1140" s="36" t="n">
        <f aca="false">F1140*G1140</f>
        <v>18.6</v>
      </c>
      <c r="I1140" s="36" t="n">
        <f aca="false">INDEX(Inventory!$D$2:$D$17,MATCH(C1140,Inventory!$A$2:$A$17,0))</f>
        <v>0.3</v>
      </c>
      <c r="J1140" s="36" t="n">
        <f aca="false">F1140*I1140</f>
        <v>9.3</v>
      </c>
      <c r="K1140" s="36" t="n">
        <f aca="false">H1140-J1140</f>
        <v>9.3</v>
      </c>
    </row>
    <row r="1141" customFormat="false" ht="15" hidden="false" customHeight="false" outlineLevel="0" collapsed="false">
      <c r="A1141" s="41" t="n">
        <v>46275</v>
      </c>
      <c r="B1141" s="42" t="n">
        <f aca="false">DATE(YEAR(A1141),MONTH(A1141),1)</f>
        <v>46266</v>
      </c>
      <c r="C1141" s="3" t="s">
        <v>57</v>
      </c>
      <c r="D1141" s="3" t="s">
        <v>58</v>
      </c>
      <c r="E1141" s="3" t="s">
        <v>27</v>
      </c>
      <c r="F1141" s="3" t="n">
        <v>12</v>
      </c>
      <c r="G1141" s="36" t="n">
        <v>1.5</v>
      </c>
      <c r="H1141" s="36" t="n">
        <f aca="false">F1141*G1141</f>
        <v>18</v>
      </c>
      <c r="I1141" s="36" t="n">
        <f aca="false">INDEX(Inventory!$D$2:$D$17,MATCH(C1141,Inventory!$A$2:$A$17,0))</f>
        <v>0.9</v>
      </c>
      <c r="J1141" s="36" t="n">
        <f aca="false">F1141*I1141</f>
        <v>10.8</v>
      </c>
      <c r="K1141" s="36" t="n">
        <f aca="false">H1141-J1141</f>
        <v>7.2</v>
      </c>
    </row>
    <row r="1142" customFormat="false" ht="15" hidden="false" customHeight="false" outlineLevel="0" collapsed="false">
      <c r="A1142" s="41" t="n">
        <v>46275</v>
      </c>
      <c r="B1142" s="42" t="n">
        <f aca="false">DATE(YEAR(A1142),MONTH(A1142),1)</f>
        <v>46266</v>
      </c>
      <c r="C1142" s="3" t="s">
        <v>41</v>
      </c>
      <c r="D1142" s="3" t="s">
        <v>42</v>
      </c>
      <c r="E1142" s="3" t="s">
        <v>28</v>
      </c>
      <c r="F1142" s="3" t="n">
        <v>22</v>
      </c>
      <c r="G1142" s="36" t="n">
        <v>1.3</v>
      </c>
      <c r="H1142" s="36" t="n">
        <f aca="false">F1142*G1142</f>
        <v>28.6</v>
      </c>
      <c r="I1142" s="36" t="n">
        <f aca="false">INDEX(Inventory!$D$2:$D$17,MATCH(C1142,Inventory!$A$2:$A$17,0))</f>
        <v>0.8</v>
      </c>
      <c r="J1142" s="36" t="n">
        <f aca="false">F1142*I1142</f>
        <v>17.6</v>
      </c>
      <c r="K1142" s="36" t="n">
        <f aca="false">H1142-J1142</f>
        <v>11</v>
      </c>
    </row>
    <row r="1143" customFormat="false" ht="15" hidden="false" customHeight="false" outlineLevel="0" collapsed="false">
      <c r="A1143" s="41" t="n">
        <v>46275</v>
      </c>
      <c r="B1143" s="42" t="n">
        <f aca="false">DATE(YEAR(A1143),MONTH(A1143),1)</f>
        <v>46266</v>
      </c>
      <c r="C1143" s="3" t="s">
        <v>63</v>
      </c>
      <c r="D1143" s="3" t="s">
        <v>64</v>
      </c>
      <c r="E1143" s="3" t="s">
        <v>28</v>
      </c>
      <c r="F1143" s="3" t="n">
        <v>13</v>
      </c>
      <c r="G1143" s="36" t="n">
        <v>0.9</v>
      </c>
      <c r="H1143" s="36" t="n">
        <f aca="false">F1143*G1143</f>
        <v>11.7</v>
      </c>
      <c r="I1143" s="36" t="n">
        <f aca="false">INDEX(Inventory!$D$2:$D$17,MATCH(C1143,Inventory!$A$2:$A$17,0))</f>
        <v>0.5</v>
      </c>
      <c r="J1143" s="36" t="n">
        <f aca="false">F1143*I1143</f>
        <v>6.5</v>
      </c>
      <c r="K1143" s="36" t="n">
        <f aca="false">H1143-J1143</f>
        <v>5.2</v>
      </c>
    </row>
    <row r="1144" customFormat="false" ht="15" hidden="false" customHeight="false" outlineLevel="0" collapsed="false">
      <c r="A1144" s="41" t="n">
        <v>46275</v>
      </c>
      <c r="B1144" s="42" t="n">
        <f aca="false">DATE(YEAR(A1144),MONTH(A1144),1)</f>
        <v>46266</v>
      </c>
      <c r="C1144" s="3" t="s">
        <v>49</v>
      </c>
      <c r="D1144" s="3" t="s">
        <v>50</v>
      </c>
      <c r="E1144" s="3" t="s">
        <v>28</v>
      </c>
      <c r="F1144" s="3" t="n">
        <v>14</v>
      </c>
      <c r="G1144" s="36" t="n">
        <v>1.2</v>
      </c>
      <c r="H1144" s="36" t="n">
        <f aca="false">F1144*G1144</f>
        <v>16.8</v>
      </c>
      <c r="I1144" s="36" t="n">
        <f aca="false">INDEX(Inventory!$D$2:$D$17,MATCH(C1144,Inventory!$A$2:$A$17,0))</f>
        <v>0.7</v>
      </c>
      <c r="J1144" s="36" t="n">
        <f aca="false">F1144*I1144</f>
        <v>9.8</v>
      </c>
      <c r="K1144" s="36" t="n">
        <f aca="false">H1144-J1144</f>
        <v>7</v>
      </c>
    </row>
    <row r="1145" customFormat="false" ht="15" hidden="false" customHeight="false" outlineLevel="0" collapsed="false">
      <c r="A1145" s="41" t="n">
        <v>46275</v>
      </c>
      <c r="B1145" s="42" t="n">
        <f aca="false">DATE(YEAR(A1145),MONTH(A1145),1)</f>
        <v>46266</v>
      </c>
      <c r="C1145" s="3" t="s">
        <v>51</v>
      </c>
      <c r="D1145" s="3" t="s">
        <v>52</v>
      </c>
      <c r="E1145" s="3" t="s">
        <v>28</v>
      </c>
      <c r="F1145" s="3" t="n">
        <v>26</v>
      </c>
      <c r="G1145" s="36" t="n">
        <v>0.85</v>
      </c>
      <c r="H1145" s="36" t="n">
        <f aca="false">F1145*G1145</f>
        <v>22.1</v>
      </c>
      <c r="I1145" s="36" t="n">
        <f aca="false">INDEX(Inventory!$D$2:$D$17,MATCH(C1145,Inventory!$A$2:$A$17,0))</f>
        <v>0.45</v>
      </c>
      <c r="J1145" s="36" t="n">
        <f aca="false">F1145*I1145</f>
        <v>11.7</v>
      </c>
      <c r="K1145" s="36" t="n">
        <f aca="false">H1145-J1145</f>
        <v>10.4</v>
      </c>
    </row>
    <row r="1146" customFormat="false" ht="15" hidden="false" customHeight="false" outlineLevel="0" collapsed="false">
      <c r="A1146" s="41" t="n">
        <v>46275</v>
      </c>
      <c r="B1146" s="42" t="n">
        <f aca="false">DATE(YEAR(A1146),MONTH(A1146),1)</f>
        <v>46266</v>
      </c>
      <c r="C1146" s="3" t="s">
        <v>37</v>
      </c>
      <c r="D1146" s="3" t="s">
        <v>38</v>
      </c>
      <c r="E1146" s="3" t="s">
        <v>26</v>
      </c>
      <c r="F1146" s="3" t="n">
        <v>19</v>
      </c>
      <c r="G1146" s="36" t="n">
        <v>1.2</v>
      </c>
      <c r="H1146" s="36" t="n">
        <f aca="false">F1146*G1146</f>
        <v>22.8</v>
      </c>
      <c r="I1146" s="36" t="n">
        <f aca="false">INDEX(Inventory!$D$2:$D$17,MATCH(C1146,Inventory!$A$2:$A$17,0))</f>
        <v>0.85</v>
      </c>
      <c r="J1146" s="36" t="n">
        <f aca="false">F1146*I1146</f>
        <v>16.15</v>
      </c>
      <c r="K1146" s="36" t="n">
        <f aca="false">H1146-J1146</f>
        <v>6.65</v>
      </c>
    </row>
    <row r="1147" customFormat="false" ht="15" hidden="false" customHeight="false" outlineLevel="0" collapsed="false">
      <c r="A1147" s="41" t="n">
        <v>46275</v>
      </c>
      <c r="B1147" s="42" t="n">
        <f aca="false">DATE(YEAR(A1147),MONTH(A1147),1)</f>
        <v>46266</v>
      </c>
      <c r="C1147" s="3" t="s">
        <v>47</v>
      </c>
      <c r="D1147" s="3" t="s">
        <v>48</v>
      </c>
      <c r="E1147" s="3" t="s">
        <v>26</v>
      </c>
      <c r="F1147" s="3" t="n">
        <v>14</v>
      </c>
      <c r="G1147" s="36" t="n">
        <v>2.2</v>
      </c>
      <c r="H1147" s="36" t="n">
        <f aca="false">F1147*G1147</f>
        <v>30.8</v>
      </c>
      <c r="I1147" s="36" t="n">
        <f aca="false">INDEX(Inventory!$D$2:$D$17,MATCH(C1147,Inventory!$A$2:$A$17,0))</f>
        <v>1.4</v>
      </c>
      <c r="J1147" s="36" t="n">
        <f aca="false">F1147*I1147</f>
        <v>19.6</v>
      </c>
      <c r="K1147" s="36" t="n">
        <f aca="false">H1147-J1147</f>
        <v>11.2</v>
      </c>
    </row>
    <row r="1148" customFormat="false" ht="15" hidden="false" customHeight="false" outlineLevel="0" collapsed="false">
      <c r="A1148" s="41" t="n">
        <v>46275</v>
      </c>
      <c r="B1148" s="42" t="n">
        <f aca="false">DATE(YEAR(A1148),MONTH(A1148),1)</f>
        <v>46266</v>
      </c>
      <c r="C1148" s="3" t="s">
        <v>43</v>
      </c>
      <c r="D1148" s="3" t="s">
        <v>44</v>
      </c>
      <c r="E1148" s="3" t="s">
        <v>26</v>
      </c>
      <c r="F1148" s="3" t="n">
        <v>8</v>
      </c>
      <c r="G1148" s="36" t="n">
        <v>3.8</v>
      </c>
      <c r="H1148" s="36" t="n">
        <f aca="false">F1148*G1148</f>
        <v>30.4</v>
      </c>
      <c r="I1148" s="36" t="n">
        <f aca="false">INDEX(Inventory!$D$2:$D$17,MATCH(C1148,Inventory!$A$2:$A$17,0))</f>
        <v>2.6</v>
      </c>
      <c r="J1148" s="36" t="n">
        <f aca="false">F1148*I1148</f>
        <v>20.8</v>
      </c>
      <c r="K1148" s="36" t="n">
        <f aca="false">H1148-J1148</f>
        <v>9.6</v>
      </c>
    </row>
    <row r="1149" customFormat="false" ht="15" hidden="false" customHeight="false" outlineLevel="0" collapsed="false">
      <c r="A1149" s="41" t="n">
        <v>46275</v>
      </c>
      <c r="B1149" s="42" t="n">
        <f aca="false">DATE(YEAR(A1149),MONTH(A1149),1)</f>
        <v>46266</v>
      </c>
      <c r="C1149" s="3" t="s">
        <v>67</v>
      </c>
      <c r="D1149" s="3" t="s">
        <v>68</v>
      </c>
      <c r="E1149" s="3" t="s">
        <v>26</v>
      </c>
      <c r="F1149" s="3" t="n">
        <v>5</v>
      </c>
      <c r="G1149" s="36" t="n">
        <v>1.9</v>
      </c>
      <c r="H1149" s="36" t="n">
        <f aca="false">F1149*G1149</f>
        <v>9.5</v>
      </c>
      <c r="I1149" s="36" t="n">
        <f aca="false">INDEX(Inventory!$D$2:$D$17,MATCH(C1149,Inventory!$A$2:$A$17,0))</f>
        <v>1.3</v>
      </c>
      <c r="J1149" s="36" t="n">
        <f aca="false">F1149*I1149</f>
        <v>6.5</v>
      </c>
      <c r="K1149" s="36" t="n">
        <f aca="false">H1149-J1149</f>
        <v>3</v>
      </c>
    </row>
    <row r="1150" customFormat="false" ht="15" hidden="false" customHeight="false" outlineLevel="0" collapsed="false">
      <c r="A1150" s="41" t="n">
        <v>46275</v>
      </c>
      <c r="B1150" s="42" t="n">
        <f aca="false">DATE(YEAR(A1150),MONTH(A1150),1)</f>
        <v>46266</v>
      </c>
      <c r="C1150" s="3" t="s">
        <v>61</v>
      </c>
      <c r="D1150" s="3" t="s">
        <v>62</v>
      </c>
      <c r="E1150" s="3" t="s">
        <v>29</v>
      </c>
      <c r="F1150" s="3" t="n">
        <v>10</v>
      </c>
      <c r="G1150" s="36" t="n">
        <v>1.9</v>
      </c>
      <c r="H1150" s="36" t="n">
        <f aca="false">F1150*G1150</f>
        <v>19</v>
      </c>
      <c r="I1150" s="36" t="n">
        <f aca="false">INDEX(Inventory!$D$2:$D$17,MATCH(C1150,Inventory!$A$2:$A$17,0))</f>
        <v>1.1</v>
      </c>
      <c r="J1150" s="36" t="n">
        <f aca="false">F1150*I1150</f>
        <v>11</v>
      </c>
      <c r="K1150" s="36" t="n">
        <f aca="false">H1150-J1150</f>
        <v>8</v>
      </c>
    </row>
    <row r="1151" customFormat="false" ht="15" hidden="false" customHeight="false" outlineLevel="0" collapsed="false">
      <c r="A1151" s="41" t="n">
        <v>46275</v>
      </c>
      <c r="B1151" s="42" t="n">
        <f aca="false">DATE(YEAR(A1151),MONTH(A1151),1)</f>
        <v>46266</v>
      </c>
      <c r="C1151" s="3" t="s">
        <v>45</v>
      </c>
      <c r="D1151" s="3" t="s">
        <v>46</v>
      </c>
      <c r="E1151" s="3" t="s">
        <v>29</v>
      </c>
      <c r="F1151" s="3" t="n">
        <v>6</v>
      </c>
      <c r="G1151" s="36" t="n">
        <v>5.2</v>
      </c>
      <c r="H1151" s="36" t="n">
        <f aca="false">F1151*G1151</f>
        <v>31.2</v>
      </c>
      <c r="I1151" s="36" t="n">
        <f aca="false">INDEX(Inventory!$D$2:$D$17,MATCH(C1151,Inventory!$A$2:$A$17,0))</f>
        <v>3.5</v>
      </c>
      <c r="J1151" s="36" t="n">
        <f aca="false">F1151*I1151</f>
        <v>21</v>
      </c>
      <c r="K1151" s="36" t="n">
        <f aca="false">H1151-J1151</f>
        <v>10.2</v>
      </c>
    </row>
    <row r="1152" customFormat="false" ht="15" hidden="false" customHeight="false" outlineLevel="0" collapsed="false">
      <c r="A1152" s="41" t="n">
        <v>46275</v>
      </c>
      <c r="B1152" s="42" t="n">
        <f aca="false">DATE(YEAR(A1152),MONTH(A1152),1)</f>
        <v>46266</v>
      </c>
      <c r="C1152" s="3" t="s">
        <v>65</v>
      </c>
      <c r="D1152" s="3" t="s">
        <v>66</v>
      </c>
      <c r="E1152" s="3" t="s">
        <v>29</v>
      </c>
      <c r="F1152" s="3" t="n">
        <v>10</v>
      </c>
      <c r="G1152" s="36" t="n">
        <v>1.5</v>
      </c>
      <c r="H1152" s="36" t="n">
        <f aca="false">F1152*G1152</f>
        <v>15</v>
      </c>
      <c r="I1152" s="36" t="n">
        <f aca="false">INDEX(Inventory!$D$2:$D$17,MATCH(C1152,Inventory!$A$2:$A$17,0))</f>
        <v>0.9</v>
      </c>
      <c r="J1152" s="36" t="n">
        <f aca="false">F1152*I1152</f>
        <v>9</v>
      </c>
      <c r="K1152" s="36" t="n">
        <f aca="false">H1152-J1152</f>
        <v>6</v>
      </c>
    </row>
    <row r="1153" customFormat="false" ht="15" hidden="false" customHeight="false" outlineLevel="0" collapsed="false">
      <c r="A1153" s="41" t="n">
        <v>46275</v>
      </c>
      <c r="B1153" s="42" t="n">
        <f aca="false">DATE(YEAR(A1153),MONTH(A1153),1)</f>
        <v>46266</v>
      </c>
      <c r="C1153" s="3" t="s">
        <v>55</v>
      </c>
      <c r="D1153" s="3" t="s">
        <v>56</v>
      </c>
      <c r="E1153" s="3" t="s">
        <v>29</v>
      </c>
      <c r="F1153" s="3" t="n">
        <v>10</v>
      </c>
      <c r="G1153" s="36" t="n">
        <v>2.5</v>
      </c>
      <c r="H1153" s="36" t="n">
        <f aca="false">F1153*G1153</f>
        <v>25</v>
      </c>
      <c r="I1153" s="36" t="n">
        <f aca="false">INDEX(Inventory!$D$2:$D$17,MATCH(C1153,Inventory!$A$2:$A$17,0))</f>
        <v>1.6</v>
      </c>
      <c r="J1153" s="36" t="n">
        <f aca="false">F1153*I1153</f>
        <v>16</v>
      </c>
      <c r="K1153" s="36" t="n">
        <f aca="false">H1153-J1153</f>
        <v>9</v>
      </c>
    </row>
    <row r="1154" customFormat="false" ht="15" hidden="false" customHeight="false" outlineLevel="0" collapsed="false">
      <c r="A1154" s="41" t="n">
        <v>46276</v>
      </c>
      <c r="B1154" s="42" t="n">
        <f aca="false">DATE(YEAR(A1154),MONTH(A1154),1)</f>
        <v>46266</v>
      </c>
      <c r="C1154" s="3" t="s">
        <v>39</v>
      </c>
      <c r="D1154" s="3" t="s">
        <v>40</v>
      </c>
      <c r="E1154" s="3" t="s">
        <v>27</v>
      </c>
      <c r="F1154" s="3" t="n">
        <v>30</v>
      </c>
      <c r="G1154" s="36" t="n">
        <v>1</v>
      </c>
      <c r="H1154" s="36" t="n">
        <f aca="false">F1154*G1154</f>
        <v>30</v>
      </c>
      <c r="I1154" s="36" t="n">
        <f aca="false">INDEX(Inventory!$D$2:$D$17,MATCH(C1154,Inventory!$A$2:$A$17,0))</f>
        <v>0.6</v>
      </c>
      <c r="J1154" s="36" t="n">
        <f aca="false">F1154*I1154</f>
        <v>18</v>
      </c>
      <c r="K1154" s="36" t="n">
        <f aca="false">H1154-J1154</f>
        <v>12</v>
      </c>
    </row>
    <row r="1155" customFormat="false" ht="15" hidden="false" customHeight="false" outlineLevel="0" collapsed="false">
      <c r="A1155" s="41" t="n">
        <v>46276</v>
      </c>
      <c r="B1155" s="42" t="n">
        <f aca="false">DATE(YEAR(A1155),MONTH(A1155),1)</f>
        <v>46266</v>
      </c>
      <c r="C1155" s="3" t="s">
        <v>53</v>
      </c>
      <c r="D1155" s="3" t="s">
        <v>54</v>
      </c>
      <c r="E1155" s="3" t="s">
        <v>27</v>
      </c>
      <c r="F1155" s="3" t="n">
        <v>19</v>
      </c>
      <c r="G1155" s="36" t="n">
        <v>0.95</v>
      </c>
      <c r="H1155" s="36" t="n">
        <f aca="false">F1155*G1155</f>
        <v>18.05</v>
      </c>
      <c r="I1155" s="36" t="n">
        <f aca="false">INDEX(Inventory!$D$2:$D$17,MATCH(C1155,Inventory!$A$2:$A$17,0))</f>
        <v>0.55</v>
      </c>
      <c r="J1155" s="36" t="n">
        <f aca="false">F1155*I1155</f>
        <v>10.45</v>
      </c>
      <c r="K1155" s="36" t="n">
        <f aca="false">H1155-J1155</f>
        <v>7.6</v>
      </c>
    </row>
    <row r="1156" customFormat="false" ht="15" hidden="false" customHeight="false" outlineLevel="0" collapsed="false">
      <c r="A1156" s="41" t="n">
        <v>46276</v>
      </c>
      <c r="B1156" s="42" t="n">
        <f aca="false">DATE(YEAR(A1156),MONTH(A1156),1)</f>
        <v>46266</v>
      </c>
      <c r="C1156" s="3" t="s">
        <v>59</v>
      </c>
      <c r="D1156" s="3" t="s">
        <v>60</v>
      </c>
      <c r="E1156" s="3" t="s">
        <v>27</v>
      </c>
      <c r="F1156" s="3" t="n">
        <v>33</v>
      </c>
      <c r="G1156" s="36" t="n">
        <v>0.6</v>
      </c>
      <c r="H1156" s="36" t="n">
        <f aca="false">F1156*G1156</f>
        <v>19.8</v>
      </c>
      <c r="I1156" s="36" t="n">
        <f aca="false">INDEX(Inventory!$D$2:$D$17,MATCH(C1156,Inventory!$A$2:$A$17,0))</f>
        <v>0.3</v>
      </c>
      <c r="J1156" s="36" t="n">
        <f aca="false">F1156*I1156</f>
        <v>9.9</v>
      </c>
      <c r="K1156" s="36" t="n">
        <f aca="false">H1156-J1156</f>
        <v>9.9</v>
      </c>
    </row>
    <row r="1157" customFormat="false" ht="15" hidden="false" customHeight="false" outlineLevel="0" collapsed="false">
      <c r="A1157" s="41" t="n">
        <v>46276</v>
      </c>
      <c r="B1157" s="42" t="n">
        <f aca="false">DATE(YEAR(A1157),MONTH(A1157),1)</f>
        <v>46266</v>
      </c>
      <c r="C1157" s="3" t="s">
        <v>57</v>
      </c>
      <c r="D1157" s="3" t="s">
        <v>58</v>
      </c>
      <c r="E1157" s="3" t="s">
        <v>27</v>
      </c>
      <c r="F1157" s="3" t="n">
        <v>12</v>
      </c>
      <c r="G1157" s="36" t="n">
        <v>1.5</v>
      </c>
      <c r="H1157" s="36" t="n">
        <f aca="false">F1157*G1157</f>
        <v>18</v>
      </c>
      <c r="I1157" s="36" t="n">
        <f aca="false">INDEX(Inventory!$D$2:$D$17,MATCH(C1157,Inventory!$A$2:$A$17,0))</f>
        <v>0.9</v>
      </c>
      <c r="J1157" s="36" t="n">
        <f aca="false">F1157*I1157</f>
        <v>10.8</v>
      </c>
      <c r="K1157" s="36" t="n">
        <f aca="false">H1157-J1157</f>
        <v>7.2</v>
      </c>
    </row>
    <row r="1158" customFormat="false" ht="15" hidden="false" customHeight="false" outlineLevel="0" collapsed="false">
      <c r="A1158" s="41" t="n">
        <v>46276</v>
      </c>
      <c r="B1158" s="42" t="n">
        <f aca="false">DATE(YEAR(A1158),MONTH(A1158),1)</f>
        <v>46266</v>
      </c>
      <c r="C1158" s="3" t="s">
        <v>41</v>
      </c>
      <c r="D1158" s="3" t="s">
        <v>42</v>
      </c>
      <c r="E1158" s="3" t="s">
        <v>28</v>
      </c>
      <c r="F1158" s="3" t="n">
        <v>21</v>
      </c>
      <c r="G1158" s="36" t="n">
        <v>1.3</v>
      </c>
      <c r="H1158" s="36" t="n">
        <f aca="false">F1158*G1158</f>
        <v>27.3</v>
      </c>
      <c r="I1158" s="36" t="n">
        <f aca="false">INDEX(Inventory!$D$2:$D$17,MATCH(C1158,Inventory!$A$2:$A$17,0))</f>
        <v>0.8</v>
      </c>
      <c r="J1158" s="36" t="n">
        <f aca="false">F1158*I1158</f>
        <v>16.8</v>
      </c>
      <c r="K1158" s="36" t="n">
        <f aca="false">H1158-J1158</f>
        <v>10.5</v>
      </c>
    </row>
    <row r="1159" customFormat="false" ht="15" hidden="false" customHeight="false" outlineLevel="0" collapsed="false">
      <c r="A1159" s="41" t="n">
        <v>46276</v>
      </c>
      <c r="B1159" s="42" t="n">
        <f aca="false">DATE(YEAR(A1159),MONTH(A1159),1)</f>
        <v>46266</v>
      </c>
      <c r="C1159" s="3" t="s">
        <v>63</v>
      </c>
      <c r="D1159" s="3" t="s">
        <v>64</v>
      </c>
      <c r="E1159" s="3" t="s">
        <v>28</v>
      </c>
      <c r="F1159" s="3" t="n">
        <v>18</v>
      </c>
      <c r="G1159" s="36" t="n">
        <v>0.9</v>
      </c>
      <c r="H1159" s="36" t="n">
        <f aca="false">F1159*G1159</f>
        <v>16.2</v>
      </c>
      <c r="I1159" s="36" t="n">
        <f aca="false">INDEX(Inventory!$D$2:$D$17,MATCH(C1159,Inventory!$A$2:$A$17,0))</f>
        <v>0.5</v>
      </c>
      <c r="J1159" s="36" t="n">
        <f aca="false">F1159*I1159</f>
        <v>9</v>
      </c>
      <c r="K1159" s="36" t="n">
        <f aca="false">H1159-J1159</f>
        <v>7.2</v>
      </c>
    </row>
    <row r="1160" customFormat="false" ht="15" hidden="false" customHeight="false" outlineLevel="0" collapsed="false">
      <c r="A1160" s="41" t="n">
        <v>46276</v>
      </c>
      <c r="B1160" s="42" t="n">
        <f aca="false">DATE(YEAR(A1160),MONTH(A1160),1)</f>
        <v>46266</v>
      </c>
      <c r="C1160" s="3" t="s">
        <v>49</v>
      </c>
      <c r="D1160" s="3" t="s">
        <v>50</v>
      </c>
      <c r="E1160" s="3" t="s">
        <v>28</v>
      </c>
      <c r="F1160" s="3" t="n">
        <v>20</v>
      </c>
      <c r="G1160" s="36" t="n">
        <v>1.2</v>
      </c>
      <c r="H1160" s="36" t="n">
        <f aca="false">F1160*G1160</f>
        <v>24</v>
      </c>
      <c r="I1160" s="36" t="n">
        <f aca="false">INDEX(Inventory!$D$2:$D$17,MATCH(C1160,Inventory!$A$2:$A$17,0))</f>
        <v>0.7</v>
      </c>
      <c r="J1160" s="36" t="n">
        <f aca="false">F1160*I1160</f>
        <v>14</v>
      </c>
      <c r="K1160" s="36" t="n">
        <f aca="false">H1160-J1160</f>
        <v>10</v>
      </c>
    </row>
    <row r="1161" customFormat="false" ht="15" hidden="false" customHeight="false" outlineLevel="0" collapsed="false">
      <c r="A1161" s="41" t="n">
        <v>46276</v>
      </c>
      <c r="B1161" s="42" t="n">
        <f aca="false">DATE(YEAR(A1161),MONTH(A1161),1)</f>
        <v>46266</v>
      </c>
      <c r="C1161" s="3" t="s">
        <v>51</v>
      </c>
      <c r="D1161" s="3" t="s">
        <v>52</v>
      </c>
      <c r="E1161" s="3" t="s">
        <v>28</v>
      </c>
      <c r="F1161" s="3" t="n">
        <v>25</v>
      </c>
      <c r="G1161" s="36" t="n">
        <v>0.85</v>
      </c>
      <c r="H1161" s="36" t="n">
        <f aca="false">F1161*G1161</f>
        <v>21.25</v>
      </c>
      <c r="I1161" s="36" t="n">
        <f aca="false">INDEX(Inventory!$D$2:$D$17,MATCH(C1161,Inventory!$A$2:$A$17,0))</f>
        <v>0.45</v>
      </c>
      <c r="J1161" s="36" t="n">
        <f aca="false">F1161*I1161</f>
        <v>11.25</v>
      </c>
      <c r="K1161" s="36" t="n">
        <f aca="false">H1161-J1161</f>
        <v>10</v>
      </c>
    </row>
    <row r="1162" customFormat="false" ht="15" hidden="false" customHeight="false" outlineLevel="0" collapsed="false">
      <c r="A1162" s="41" t="n">
        <v>46276</v>
      </c>
      <c r="B1162" s="42" t="n">
        <f aca="false">DATE(YEAR(A1162),MONTH(A1162),1)</f>
        <v>46266</v>
      </c>
      <c r="C1162" s="3" t="s">
        <v>37</v>
      </c>
      <c r="D1162" s="3" t="s">
        <v>38</v>
      </c>
      <c r="E1162" s="3" t="s">
        <v>26</v>
      </c>
      <c r="F1162" s="3" t="n">
        <v>25</v>
      </c>
      <c r="G1162" s="36" t="n">
        <v>1.2</v>
      </c>
      <c r="H1162" s="36" t="n">
        <f aca="false">F1162*G1162</f>
        <v>30</v>
      </c>
      <c r="I1162" s="36" t="n">
        <f aca="false">INDEX(Inventory!$D$2:$D$17,MATCH(C1162,Inventory!$A$2:$A$17,0))</f>
        <v>0.85</v>
      </c>
      <c r="J1162" s="36" t="n">
        <f aca="false">F1162*I1162</f>
        <v>21.25</v>
      </c>
      <c r="K1162" s="36" t="n">
        <f aca="false">H1162-J1162</f>
        <v>8.75</v>
      </c>
    </row>
    <row r="1163" customFormat="false" ht="15" hidden="false" customHeight="false" outlineLevel="0" collapsed="false">
      <c r="A1163" s="41" t="n">
        <v>46276</v>
      </c>
      <c r="B1163" s="42" t="n">
        <f aca="false">DATE(YEAR(A1163),MONTH(A1163),1)</f>
        <v>46266</v>
      </c>
      <c r="C1163" s="3" t="s">
        <v>47</v>
      </c>
      <c r="D1163" s="3" t="s">
        <v>48</v>
      </c>
      <c r="E1163" s="3" t="s">
        <v>26</v>
      </c>
      <c r="F1163" s="3" t="n">
        <v>13</v>
      </c>
      <c r="G1163" s="36" t="n">
        <v>2.2</v>
      </c>
      <c r="H1163" s="36" t="n">
        <f aca="false">F1163*G1163</f>
        <v>28.6</v>
      </c>
      <c r="I1163" s="36" t="n">
        <f aca="false">INDEX(Inventory!$D$2:$D$17,MATCH(C1163,Inventory!$A$2:$A$17,0))</f>
        <v>1.4</v>
      </c>
      <c r="J1163" s="36" t="n">
        <f aca="false">F1163*I1163</f>
        <v>18.2</v>
      </c>
      <c r="K1163" s="36" t="n">
        <f aca="false">H1163-J1163</f>
        <v>10.4</v>
      </c>
    </row>
    <row r="1164" customFormat="false" ht="15" hidden="false" customHeight="false" outlineLevel="0" collapsed="false">
      <c r="A1164" s="41" t="n">
        <v>46276</v>
      </c>
      <c r="B1164" s="42" t="n">
        <f aca="false">DATE(YEAR(A1164),MONTH(A1164),1)</f>
        <v>46266</v>
      </c>
      <c r="C1164" s="3" t="s">
        <v>43</v>
      </c>
      <c r="D1164" s="3" t="s">
        <v>44</v>
      </c>
      <c r="E1164" s="3" t="s">
        <v>26</v>
      </c>
      <c r="F1164" s="3" t="n">
        <v>8</v>
      </c>
      <c r="G1164" s="36" t="n">
        <v>3.8</v>
      </c>
      <c r="H1164" s="36" t="n">
        <f aca="false">F1164*G1164</f>
        <v>30.4</v>
      </c>
      <c r="I1164" s="36" t="n">
        <f aca="false">INDEX(Inventory!$D$2:$D$17,MATCH(C1164,Inventory!$A$2:$A$17,0))</f>
        <v>2.6</v>
      </c>
      <c r="J1164" s="36" t="n">
        <f aca="false">F1164*I1164</f>
        <v>20.8</v>
      </c>
      <c r="K1164" s="36" t="n">
        <f aca="false">H1164-J1164</f>
        <v>9.6</v>
      </c>
    </row>
    <row r="1165" customFormat="false" ht="15" hidden="false" customHeight="false" outlineLevel="0" collapsed="false">
      <c r="A1165" s="41" t="n">
        <v>46276</v>
      </c>
      <c r="B1165" s="42" t="n">
        <f aca="false">DATE(YEAR(A1165),MONTH(A1165),1)</f>
        <v>46266</v>
      </c>
      <c r="C1165" s="3" t="s">
        <v>67</v>
      </c>
      <c r="D1165" s="3" t="s">
        <v>68</v>
      </c>
      <c r="E1165" s="3" t="s">
        <v>26</v>
      </c>
      <c r="F1165" s="3" t="n">
        <v>6</v>
      </c>
      <c r="G1165" s="36" t="n">
        <v>1.9</v>
      </c>
      <c r="H1165" s="36" t="n">
        <f aca="false">F1165*G1165</f>
        <v>11.4</v>
      </c>
      <c r="I1165" s="36" t="n">
        <f aca="false">INDEX(Inventory!$D$2:$D$17,MATCH(C1165,Inventory!$A$2:$A$17,0))</f>
        <v>1.3</v>
      </c>
      <c r="J1165" s="36" t="n">
        <f aca="false">F1165*I1165</f>
        <v>7.8</v>
      </c>
      <c r="K1165" s="36" t="n">
        <f aca="false">H1165-J1165</f>
        <v>3.6</v>
      </c>
    </row>
    <row r="1166" customFormat="false" ht="15" hidden="false" customHeight="false" outlineLevel="0" collapsed="false">
      <c r="A1166" s="41" t="n">
        <v>46276</v>
      </c>
      <c r="B1166" s="42" t="n">
        <f aca="false">DATE(YEAR(A1166),MONTH(A1166),1)</f>
        <v>46266</v>
      </c>
      <c r="C1166" s="3" t="s">
        <v>61</v>
      </c>
      <c r="D1166" s="3" t="s">
        <v>62</v>
      </c>
      <c r="E1166" s="3" t="s">
        <v>29</v>
      </c>
      <c r="F1166" s="3" t="n">
        <v>11</v>
      </c>
      <c r="G1166" s="36" t="n">
        <v>1.9</v>
      </c>
      <c r="H1166" s="36" t="n">
        <f aca="false">F1166*G1166</f>
        <v>20.9</v>
      </c>
      <c r="I1166" s="36" t="n">
        <f aca="false">INDEX(Inventory!$D$2:$D$17,MATCH(C1166,Inventory!$A$2:$A$17,0))</f>
        <v>1.1</v>
      </c>
      <c r="J1166" s="36" t="n">
        <f aca="false">F1166*I1166</f>
        <v>12.1</v>
      </c>
      <c r="K1166" s="36" t="n">
        <f aca="false">H1166-J1166</f>
        <v>8.8</v>
      </c>
    </row>
    <row r="1167" customFormat="false" ht="15" hidden="false" customHeight="false" outlineLevel="0" collapsed="false">
      <c r="A1167" s="41" t="n">
        <v>46276</v>
      </c>
      <c r="B1167" s="42" t="n">
        <f aca="false">DATE(YEAR(A1167),MONTH(A1167),1)</f>
        <v>46266</v>
      </c>
      <c r="C1167" s="3" t="s">
        <v>45</v>
      </c>
      <c r="D1167" s="3" t="s">
        <v>46</v>
      </c>
      <c r="E1167" s="3" t="s">
        <v>29</v>
      </c>
      <c r="F1167" s="3" t="n">
        <v>6</v>
      </c>
      <c r="G1167" s="36" t="n">
        <v>5.2</v>
      </c>
      <c r="H1167" s="36" t="n">
        <f aca="false">F1167*G1167</f>
        <v>31.2</v>
      </c>
      <c r="I1167" s="36" t="n">
        <f aca="false">INDEX(Inventory!$D$2:$D$17,MATCH(C1167,Inventory!$A$2:$A$17,0))</f>
        <v>3.5</v>
      </c>
      <c r="J1167" s="36" t="n">
        <f aca="false">F1167*I1167</f>
        <v>21</v>
      </c>
      <c r="K1167" s="36" t="n">
        <f aca="false">H1167-J1167</f>
        <v>10.2</v>
      </c>
    </row>
    <row r="1168" customFormat="false" ht="15" hidden="false" customHeight="false" outlineLevel="0" collapsed="false">
      <c r="A1168" s="41" t="n">
        <v>46276</v>
      </c>
      <c r="B1168" s="42" t="n">
        <f aca="false">DATE(YEAR(A1168),MONTH(A1168),1)</f>
        <v>46266</v>
      </c>
      <c r="C1168" s="3" t="s">
        <v>65</v>
      </c>
      <c r="D1168" s="3" t="s">
        <v>66</v>
      </c>
      <c r="E1168" s="3" t="s">
        <v>29</v>
      </c>
      <c r="F1168" s="3" t="n">
        <v>8</v>
      </c>
      <c r="G1168" s="36" t="n">
        <v>1.5</v>
      </c>
      <c r="H1168" s="36" t="n">
        <f aca="false">F1168*G1168</f>
        <v>12</v>
      </c>
      <c r="I1168" s="36" t="n">
        <f aca="false">INDEX(Inventory!$D$2:$D$17,MATCH(C1168,Inventory!$A$2:$A$17,0))</f>
        <v>0.9</v>
      </c>
      <c r="J1168" s="36" t="n">
        <f aca="false">F1168*I1168</f>
        <v>7.2</v>
      </c>
      <c r="K1168" s="36" t="n">
        <f aca="false">H1168-J1168</f>
        <v>4.8</v>
      </c>
    </row>
    <row r="1169" customFormat="false" ht="15" hidden="false" customHeight="false" outlineLevel="0" collapsed="false">
      <c r="A1169" s="41" t="n">
        <v>46276</v>
      </c>
      <c r="B1169" s="42" t="n">
        <f aca="false">DATE(YEAR(A1169),MONTH(A1169),1)</f>
        <v>46266</v>
      </c>
      <c r="C1169" s="3" t="s">
        <v>55</v>
      </c>
      <c r="D1169" s="3" t="s">
        <v>56</v>
      </c>
      <c r="E1169" s="3" t="s">
        <v>29</v>
      </c>
      <c r="F1169" s="3" t="n">
        <v>10</v>
      </c>
      <c r="G1169" s="36" t="n">
        <v>2.5</v>
      </c>
      <c r="H1169" s="36" t="n">
        <f aca="false">F1169*G1169</f>
        <v>25</v>
      </c>
      <c r="I1169" s="36" t="n">
        <f aca="false">INDEX(Inventory!$D$2:$D$17,MATCH(C1169,Inventory!$A$2:$A$17,0))</f>
        <v>1.6</v>
      </c>
      <c r="J1169" s="36" t="n">
        <f aca="false">F1169*I1169</f>
        <v>16</v>
      </c>
      <c r="K1169" s="36" t="n">
        <f aca="false">H1169-J1169</f>
        <v>9</v>
      </c>
    </row>
    <row r="1170" customFormat="false" ht="15" hidden="false" customHeight="false" outlineLevel="0" collapsed="false">
      <c r="A1170" s="41" t="n">
        <v>46277</v>
      </c>
      <c r="B1170" s="42" t="n">
        <f aca="false">DATE(YEAR(A1170),MONTH(A1170),1)</f>
        <v>46266</v>
      </c>
      <c r="C1170" s="3" t="s">
        <v>39</v>
      </c>
      <c r="D1170" s="3" t="s">
        <v>40</v>
      </c>
      <c r="E1170" s="3" t="s">
        <v>27</v>
      </c>
      <c r="F1170" s="3" t="n">
        <v>43</v>
      </c>
      <c r="G1170" s="36" t="n">
        <v>1</v>
      </c>
      <c r="H1170" s="36" t="n">
        <f aca="false">F1170*G1170</f>
        <v>43</v>
      </c>
      <c r="I1170" s="36" t="n">
        <f aca="false">INDEX(Inventory!$D$2:$D$17,MATCH(C1170,Inventory!$A$2:$A$17,0))</f>
        <v>0.6</v>
      </c>
      <c r="J1170" s="36" t="n">
        <f aca="false">F1170*I1170</f>
        <v>25.8</v>
      </c>
      <c r="K1170" s="36" t="n">
        <f aca="false">H1170-J1170</f>
        <v>17.2</v>
      </c>
    </row>
    <row r="1171" customFormat="false" ht="15" hidden="false" customHeight="false" outlineLevel="0" collapsed="false">
      <c r="A1171" s="41" t="n">
        <v>46277</v>
      </c>
      <c r="B1171" s="42" t="n">
        <f aca="false">DATE(YEAR(A1171),MONTH(A1171),1)</f>
        <v>46266</v>
      </c>
      <c r="C1171" s="3" t="s">
        <v>53</v>
      </c>
      <c r="D1171" s="3" t="s">
        <v>54</v>
      </c>
      <c r="E1171" s="3" t="s">
        <v>27</v>
      </c>
      <c r="F1171" s="3" t="n">
        <v>26</v>
      </c>
      <c r="G1171" s="36" t="n">
        <v>0.95</v>
      </c>
      <c r="H1171" s="36" t="n">
        <f aca="false">F1171*G1171</f>
        <v>24.7</v>
      </c>
      <c r="I1171" s="36" t="n">
        <f aca="false">INDEX(Inventory!$D$2:$D$17,MATCH(C1171,Inventory!$A$2:$A$17,0))</f>
        <v>0.55</v>
      </c>
      <c r="J1171" s="36" t="n">
        <f aca="false">F1171*I1171</f>
        <v>14.3</v>
      </c>
      <c r="K1171" s="36" t="n">
        <f aca="false">H1171-J1171</f>
        <v>10.4</v>
      </c>
    </row>
    <row r="1172" customFormat="false" ht="15" hidden="false" customHeight="false" outlineLevel="0" collapsed="false">
      <c r="A1172" s="41" t="n">
        <v>46277</v>
      </c>
      <c r="B1172" s="42" t="n">
        <f aca="false">DATE(YEAR(A1172),MONTH(A1172),1)</f>
        <v>46266</v>
      </c>
      <c r="C1172" s="3" t="s">
        <v>59</v>
      </c>
      <c r="D1172" s="3" t="s">
        <v>60</v>
      </c>
      <c r="E1172" s="3" t="s">
        <v>27</v>
      </c>
      <c r="F1172" s="3" t="n">
        <v>45</v>
      </c>
      <c r="G1172" s="36" t="n">
        <v>0.6</v>
      </c>
      <c r="H1172" s="36" t="n">
        <f aca="false">F1172*G1172</f>
        <v>27</v>
      </c>
      <c r="I1172" s="36" t="n">
        <f aca="false">INDEX(Inventory!$D$2:$D$17,MATCH(C1172,Inventory!$A$2:$A$17,0))</f>
        <v>0.3</v>
      </c>
      <c r="J1172" s="36" t="n">
        <f aca="false">F1172*I1172</f>
        <v>13.5</v>
      </c>
      <c r="K1172" s="36" t="n">
        <f aca="false">H1172-J1172</f>
        <v>13.5</v>
      </c>
    </row>
    <row r="1173" customFormat="false" ht="15" hidden="false" customHeight="false" outlineLevel="0" collapsed="false">
      <c r="A1173" s="41" t="n">
        <v>46277</v>
      </c>
      <c r="B1173" s="42" t="n">
        <f aca="false">DATE(YEAR(A1173),MONTH(A1173),1)</f>
        <v>46266</v>
      </c>
      <c r="C1173" s="3" t="s">
        <v>57</v>
      </c>
      <c r="D1173" s="3" t="s">
        <v>58</v>
      </c>
      <c r="E1173" s="3" t="s">
        <v>27</v>
      </c>
      <c r="F1173" s="3" t="n">
        <v>19</v>
      </c>
      <c r="G1173" s="36" t="n">
        <v>1.5</v>
      </c>
      <c r="H1173" s="36" t="n">
        <f aca="false">F1173*G1173</f>
        <v>28.5</v>
      </c>
      <c r="I1173" s="36" t="n">
        <f aca="false">INDEX(Inventory!$D$2:$D$17,MATCH(C1173,Inventory!$A$2:$A$17,0))</f>
        <v>0.9</v>
      </c>
      <c r="J1173" s="36" t="n">
        <f aca="false">F1173*I1173</f>
        <v>17.1</v>
      </c>
      <c r="K1173" s="36" t="n">
        <f aca="false">H1173-J1173</f>
        <v>11.4</v>
      </c>
    </row>
    <row r="1174" customFormat="false" ht="15" hidden="false" customHeight="false" outlineLevel="0" collapsed="false">
      <c r="A1174" s="41" t="n">
        <v>46277</v>
      </c>
      <c r="B1174" s="42" t="n">
        <f aca="false">DATE(YEAR(A1174),MONTH(A1174),1)</f>
        <v>46266</v>
      </c>
      <c r="C1174" s="3" t="s">
        <v>41</v>
      </c>
      <c r="D1174" s="3" t="s">
        <v>42</v>
      </c>
      <c r="E1174" s="3" t="s">
        <v>28</v>
      </c>
      <c r="F1174" s="3" t="n">
        <v>29</v>
      </c>
      <c r="G1174" s="36" t="n">
        <v>1.3</v>
      </c>
      <c r="H1174" s="36" t="n">
        <f aca="false">F1174*G1174</f>
        <v>37.7</v>
      </c>
      <c r="I1174" s="36" t="n">
        <f aca="false">INDEX(Inventory!$D$2:$D$17,MATCH(C1174,Inventory!$A$2:$A$17,0))</f>
        <v>0.8</v>
      </c>
      <c r="J1174" s="36" t="n">
        <f aca="false">F1174*I1174</f>
        <v>23.2</v>
      </c>
      <c r="K1174" s="36" t="n">
        <f aca="false">H1174-J1174</f>
        <v>14.5</v>
      </c>
    </row>
    <row r="1175" customFormat="false" ht="15" hidden="false" customHeight="false" outlineLevel="0" collapsed="false">
      <c r="A1175" s="41" t="n">
        <v>46277</v>
      </c>
      <c r="B1175" s="42" t="n">
        <f aca="false">DATE(YEAR(A1175),MONTH(A1175),1)</f>
        <v>46266</v>
      </c>
      <c r="C1175" s="3" t="s">
        <v>63</v>
      </c>
      <c r="D1175" s="3" t="s">
        <v>64</v>
      </c>
      <c r="E1175" s="3" t="s">
        <v>28</v>
      </c>
      <c r="F1175" s="3" t="n">
        <v>24</v>
      </c>
      <c r="G1175" s="36" t="n">
        <v>0.9</v>
      </c>
      <c r="H1175" s="36" t="n">
        <f aca="false">F1175*G1175</f>
        <v>21.6</v>
      </c>
      <c r="I1175" s="36" t="n">
        <f aca="false">INDEX(Inventory!$D$2:$D$17,MATCH(C1175,Inventory!$A$2:$A$17,0))</f>
        <v>0.5</v>
      </c>
      <c r="J1175" s="36" t="n">
        <f aca="false">F1175*I1175</f>
        <v>12</v>
      </c>
      <c r="K1175" s="36" t="n">
        <f aca="false">H1175-J1175</f>
        <v>9.6</v>
      </c>
    </row>
    <row r="1176" customFormat="false" ht="15" hidden="false" customHeight="false" outlineLevel="0" collapsed="false">
      <c r="A1176" s="41" t="n">
        <v>46277</v>
      </c>
      <c r="B1176" s="42" t="n">
        <f aca="false">DATE(YEAR(A1176),MONTH(A1176),1)</f>
        <v>46266</v>
      </c>
      <c r="C1176" s="3" t="s">
        <v>49</v>
      </c>
      <c r="D1176" s="3" t="s">
        <v>50</v>
      </c>
      <c r="E1176" s="3" t="s">
        <v>28</v>
      </c>
      <c r="F1176" s="3" t="n">
        <v>30</v>
      </c>
      <c r="G1176" s="36" t="n">
        <v>1.2</v>
      </c>
      <c r="H1176" s="36" t="n">
        <f aca="false">F1176*G1176</f>
        <v>36</v>
      </c>
      <c r="I1176" s="36" t="n">
        <f aca="false">INDEX(Inventory!$D$2:$D$17,MATCH(C1176,Inventory!$A$2:$A$17,0))</f>
        <v>0.7</v>
      </c>
      <c r="J1176" s="36" t="n">
        <f aca="false">F1176*I1176</f>
        <v>21</v>
      </c>
      <c r="K1176" s="36" t="n">
        <f aca="false">H1176-J1176</f>
        <v>15</v>
      </c>
    </row>
    <row r="1177" customFormat="false" ht="15" hidden="false" customHeight="false" outlineLevel="0" collapsed="false">
      <c r="A1177" s="41" t="n">
        <v>46277</v>
      </c>
      <c r="B1177" s="42" t="n">
        <f aca="false">DATE(YEAR(A1177),MONTH(A1177),1)</f>
        <v>46266</v>
      </c>
      <c r="C1177" s="3" t="s">
        <v>51</v>
      </c>
      <c r="D1177" s="3" t="s">
        <v>52</v>
      </c>
      <c r="E1177" s="3" t="s">
        <v>28</v>
      </c>
      <c r="F1177" s="3" t="n">
        <v>33</v>
      </c>
      <c r="G1177" s="36" t="n">
        <v>0.85</v>
      </c>
      <c r="H1177" s="36" t="n">
        <f aca="false">F1177*G1177</f>
        <v>28.05</v>
      </c>
      <c r="I1177" s="36" t="n">
        <f aca="false">INDEX(Inventory!$D$2:$D$17,MATCH(C1177,Inventory!$A$2:$A$17,0))</f>
        <v>0.45</v>
      </c>
      <c r="J1177" s="36" t="n">
        <f aca="false">F1177*I1177</f>
        <v>14.85</v>
      </c>
      <c r="K1177" s="36" t="n">
        <f aca="false">H1177-J1177</f>
        <v>13.2</v>
      </c>
    </row>
    <row r="1178" customFormat="false" ht="15" hidden="false" customHeight="false" outlineLevel="0" collapsed="false">
      <c r="A1178" s="41" t="n">
        <v>46277</v>
      </c>
      <c r="B1178" s="42" t="n">
        <f aca="false">DATE(YEAR(A1178),MONTH(A1178),1)</f>
        <v>46266</v>
      </c>
      <c r="C1178" s="3" t="s">
        <v>37</v>
      </c>
      <c r="D1178" s="3" t="s">
        <v>38</v>
      </c>
      <c r="E1178" s="3" t="s">
        <v>26</v>
      </c>
      <c r="F1178" s="3" t="n">
        <v>38</v>
      </c>
      <c r="G1178" s="36" t="n">
        <v>1.2</v>
      </c>
      <c r="H1178" s="36" t="n">
        <f aca="false">F1178*G1178</f>
        <v>45.6</v>
      </c>
      <c r="I1178" s="36" t="n">
        <f aca="false">INDEX(Inventory!$D$2:$D$17,MATCH(C1178,Inventory!$A$2:$A$17,0))</f>
        <v>0.85</v>
      </c>
      <c r="J1178" s="36" t="n">
        <f aca="false">F1178*I1178</f>
        <v>32.3</v>
      </c>
      <c r="K1178" s="36" t="n">
        <f aca="false">H1178-J1178</f>
        <v>13.3</v>
      </c>
    </row>
    <row r="1179" customFormat="false" ht="15" hidden="false" customHeight="false" outlineLevel="0" collapsed="false">
      <c r="A1179" s="41" t="n">
        <v>46277</v>
      </c>
      <c r="B1179" s="42" t="n">
        <f aca="false">DATE(YEAR(A1179),MONTH(A1179),1)</f>
        <v>46266</v>
      </c>
      <c r="C1179" s="3" t="s">
        <v>47</v>
      </c>
      <c r="D1179" s="3" t="s">
        <v>48</v>
      </c>
      <c r="E1179" s="3" t="s">
        <v>26</v>
      </c>
      <c r="F1179" s="3" t="n">
        <v>17</v>
      </c>
      <c r="G1179" s="36" t="n">
        <v>2.2</v>
      </c>
      <c r="H1179" s="36" t="n">
        <f aca="false">F1179*G1179</f>
        <v>37.4</v>
      </c>
      <c r="I1179" s="36" t="n">
        <f aca="false">INDEX(Inventory!$D$2:$D$17,MATCH(C1179,Inventory!$A$2:$A$17,0))</f>
        <v>1.4</v>
      </c>
      <c r="J1179" s="36" t="n">
        <f aca="false">F1179*I1179</f>
        <v>23.8</v>
      </c>
      <c r="K1179" s="36" t="n">
        <f aca="false">H1179-J1179</f>
        <v>13.6</v>
      </c>
    </row>
    <row r="1180" customFormat="false" ht="15" hidden="false" customHeight="false" outlineLevel="0" collapsed="false">
      <c r="A1180" s="41" t="n">
        <v>46277</v>
      </c>
      <c r="B1180" s="42" t="n">
        <f aca="false">DATE(YEAR(A1180),MONTH(A1180),1)</f>
        <v>46266</v>
      </c>
      <c r="C1180" s="3" t="s">
        <v>43</v>
      </c>
      <c r="D1180" s="3" t="s">
        <v>44</v>
      </c>
      <c r="E1180" s="3" t="s">
        <v>26</v>
      </c>
      <c r="F1180" s="3" t="n">
        <v>10</v>
      </c>
      <c r="G1180" s="36" t="n">
        <v>3.8</v>
      </c>
      <c r="H1180" s="36" t="n">
        <f aca="false">F1180*G1180</f>
        <v>38</v>
      </c>
      <c r="I1180" s="36" t="n">
        <f aca="false">INDEX(Inventory!$D$2:$D$17,MATCH(C1180,Inventory!$A$2:$A$17,0))</f>
        <v>2.6</v>
      </c>
      <c r="J1180" s="36" t="n">
        <f aca="false">F1180*I1180</f>
        <v>26</v>
      </c>
      <c r="K1180" s="36" t="n">
        <f aca="false">H1180-J1180</f>
        <v>12</v>
      </c>
    </row>
    <row r="1181" customFormat="false" ht="15" hidden="false" customHeight="false" outlineLevel="0" collapsed="false">
      <c r="A1181" s="41" t="n">
        <v>46277</v>
      </c>
      <c r="B1181" s="42" t="n">
        <f aca="false">DATE(YEAR(A1181),MONTH(A1181),1)</f>
        <v>46266</v>
      </c>
      <c r="C1181" s="3" t="s">
        <v>67</v>
      </c>
      <c r="D1181" s="3" t="s">
        <v>68</v>
      </c>
      <c r="E1181" s="3" t="s">
        <v>26</v>
      </c>
      <c r="F1181" s="3" t="n">
        <v>7</v>
      </c>
      <c r="G1181" s="36" t="n">
        <v>1.9</v>
      </c>
      <c r="H1181" s="36" t="n">
        <f aca="false">F1181*G1181</f>
        <v>13.3</v>
      </c>
      <c r="I1181" s="36" t="n">
        <f aca="false">INDEX(Inventory!$D$2:$D$17,MATCH(C1181,Inventory!$A$2:$A$17,0))</f>
        <v>1.3</v>
      </c>
      <c r="J1181" s="36" t="n">
        <f aca="false">F1181*I1181</f>
        <v>9.1</v>
      </c>
      <c r="K1181" s="36" t="n">
        <f aca="false">H1181-J1181</f>
        <v>4.2</v>
      </c>
    </row>
    <row r="1182" customFormat="false" ht="15" hidden="false" customHeight="false" outlineLevel="0" collapsed="false">
      <c r="A1182" s="41" t="n">
        <v>46277</v>
      </c>
      <c r="B1182" s="42" t="n">
        <f aca="false">DATE(YEAR(A1182),MONTH(A1182),1)</f>
        <v>46266</v>
      </c>
      <c r="C1182" s="3" t="s">
        <v>61</v>
      </c>
      <c r="D1182" s="3" t="s">
        <v>62</v>
      </c>
      <c r="E1182" s="3" t="s">
        <v>29</v>
      </c>
      <c r="F1182" s="3" t="n">
        <v>15</v>
      </c>
      <c r="G1182" s="36" t="n">
        <v>1.9</v>
      </c>
      <c r="H1182" s="36" t="n">
        <f aca="false">F1182*G1182</f>
        <v>28.5</v>
      </c>
      <c r="I1182" s="36" t="n">
        <f aca="false">INDEX(Inventory!$D$2:$D$17,MATCH(C1182,Inventory!$A$2:$A$17,0))</f>
        <v>1.1</v>
      </c>
      <c r="J1182" s="36" t="n">
        <f aca="false">F1182*I1182</f>
        <v>16.5</v>
      </c>
      <c r="K1182" s="36" t="n">
        <f aca="false">H1182-J1182</f>
        <v>12</v>
      </c>
    </row>
    <row r="1183" customFormat="false" ht="15" hidden="false" customHeight="false" outlineLevel="0" collapsed="false">
      <c r="A1183" s="41" t="n">
        <v>46277</v>
      </c>
      <c r="B1183" s="42" t="n">
        <f aca="false">DATE(YEAR(A1183),MONTH(A1183),1)</f>
        <v>46266</v>
      </c>
      <c r="C1183" s="3" t="s">
        <v>45</v>
      </c>
      <c r="D1183" s="3" t="s">
        <v>46</v>
      </c>
      <c r="E1183" s="3" t="s">
        <v>29</v>
      </c>
      <c r="F1183" s="3" t="n">
        <v>5</v>
      </c>
      <c r="G1183" s="36" t="n">
        <v>5.2</v>
      </c>
      <c r="H1183" s="36" t="n">
        <f aca="false">F1183*G1183</f>
        <v>26</v>
      </c>
      <c r="I1183" s="36" t="n">
        <f aca="false">INDEX(Inventory!$D$2:$D$17,MATCH(C1183,Inventory!$A$2:$A$17,0))</f>
        <v>3.5</v>
      </c>
      <c r="J1183" s="36" t="n">
        <f aca="false">F1183*I1183</f>
        <v>17.5</v>
      </c>
      <c r="K1183" s="36" t="n">
        <f aca="false">H1183-J1183</f>
        <v>8.5</v>
      </c>
    </row>
    <row r="1184" customFormat="false" ht="15" hidden="false" customHeight="false" outlineLevel="0" collapsed="false">
      <c r="A1184" s="41" t="n">
        <v>46277</v>
      </c>
      <c r="B1184" s="42" t="n">
        <f aca="false">DATE(YEAR(A1184),MONTH(A1184),1)</f>
        <v>46266</v>
      </c>
      <c r="C1184" s="3" t="s">
        <v>65</v>
      </c>
      <c r="D1184" s="3" t="s">
        <v>66</v>
      </c>
      <c r="E1184" s="3" t="s">
        <v>29</v>
      </c>
      <c r="F1184" s="3" t="n">
        <v>15</v>
      </c>
      <c r="G1184" s="36" t="n">
        <v>1.5</v>
      </c>
      <c r="H1184" s="36" t="n">
        <f aca="false">F1184*G1184</f>
        <v>22.5</v>
      </c>
      <c r="I1184" s="36" t="n">
        <f aca="false">INDEX(Inventory!$D$2:$D$17,MATCH(C1184,Inventory!$A$2:$A$17,0))</f>
        <v>0.9</v>
      </c>
      <c r="J1184" s="36" t="n">
        <f aca="false">F1184*I1184</f>
        <v>13.5</v>
      </c>
      <c r="K1184" s="36" t="n">
        <f aca="false">H1184-J1184</f>
        <v>9</v>
      </c>
    </row>
    <row r="1185" customFormat="false" ht="15" hidden="false" customHeight="false" outlineLevel="0" collapsed="false">
      <c r="A1185" s="41" t="n">
        <v>46277</v>
      </c>
      <c r="B1185" s="42" t="n">
        <f aca="false">DATE(YEAR(A1185),MONTH(A1185),1)</f>
        <v>46266</v>
      </c>
      <c r="C1185" s="3" t="s">
        <v>55</v>
      </c>
      <c r="D1185" s="3" t="s">
        <v>56</v>
      </c>
      <c r="E1185" s="3" t="s">
        <v>29</v>
      </c>
      <c r="F1185" s="3" t="n">
        <v>12</v>
      </c>
      <c r="G1185" s="36" t="n">
        <v>2.5</v>
      </c>
      <c r="H1185" s="36" t="n">
        <f aca="false">F1185*G1185</f>
        <v>30</v>
      </c>
      <c r="I1185" s="36" t="n">
        <f aca="false">INDEX(Inventory!$D$2:$D$17,MATCH(C1185,Inventory!$A$2:$A$17,0))</f>
        <v>1.6</v>
      </c>
      <c r="J1185" s="36" t="n">
        <f aca="false">F1185*I1185</f>
        <v>19.2</v>
      </c>
      <c r="K1185" s="36" t="n">
        <f aca="false">H1185-J1185</f>
        <v>10.8</v>
      </c>
    </row>
    <row r="1186" customFormat="false" ht="15" hidden="false" customHeight="false" outlineLevel="0" collapsed="false">
      <c r="A1186" s="41" t="n">
        <v>46278</v>
      </c>
      <c r="B1186" s="42" t="n">
        <f aca="false">DATE(YEAR(A1186),MONTH(A1186),1)</f>
        <v>46266</v>
      </c>
      <c r="C1186" s="3" t="s">
        <v>39</v>
      </c>
      <c r="D1186" s="3" t="s">
        <v>40</v>
      </c>
      <c r="E1186" s="3" t="s">
        <v>27</v>
      </c>
      <c r="F1186" s="3" t="n">
        <v>38</v>
      </c>
      <c r="G1186" s="36" t="n">
        <v>1</v>
      </c>
      <c r="H1186" s="36" t="n">
        <f aca="false">F1186*G1186</f>
        <v>38</v>
      </c>
      <c r="I1186" s="36" t="n">
        <f aca="false">INDEX(Inventory!$D$2:$D$17,MATCH(C1186,Inventory!$A$2:$A$17,0))</f>
        <v>0.6</v>
      </c>
      <c r="J1186" s="36" t="n">
        <f aca="false">F1186*I1186</f>
        <v>22.8</v>
      </c>
      <c r="K1186" s="36" t="n">
        <f aca="false">H1186-J1186</f>
        <v>15.2</v>
      </c>
    </row>
    <row r="1187" customFormat="false" ht="15" hidden="false" customHeight="false" outlineLevel="0" collapsed="false">
      <c r="A1187" s="41" t="n">
        <v>46278</v>
      </c>
      <c r="B1187" s="42" t="n">
        <f aca="false">DATE(YEAR(A1187),MONTH(A1187),1)</f>
        <v>46266</v>
      </c>
      <c r="C1187" s="3" t="s">
        <v>53</v>
      </c>
      <c r="D1187" s="3" t="s">
        <v>54</v>
      </c>
      <c r="E1187" s="3" t="s">
        <v>27</v>
      </c>
      <c r="F1187" s="3" t="n">
        <v>26</v>
      </c>
      <c r="G1187" s="36" t="n">
        <v>0.95</v>
      </c>
      <c r="H1187" s="36" t="n">
        <f aca="false">F1187*G1187</f>
        <v>24.7</v>
      </c>
      <c r="I1187" s="36" t="n">
        <f aca="false">INDEX(Inventory!$D$2:$D$17,MATCH(C1187,Inventory!$A$2:$A$17,0))</f>
        <v>0.55</v>
      </c>
      <c r="J1187" s="36" t="n">
        <f aca="false">F1187*I1187</f>
        <v>14.3</v>
      </c>
      <c r="K1187" s="36" t="n">
        <f aca="false">H1187-J1187</f>
        <v>10.4</v>
      </c>
    </row>
    <row r="1188" customFormat="false" ht="15" hidden="false" customHeight="false" outlineLevel="0" collapsed="false">
      <c r="A1188" s="41" t="n">
        <v>46278</v>
      </c>
      <c r="B1188" s="42" t="n">
        <f aca="false">DATE(YEAR(A1188),MONTH(A1188),1)</f>
        <v>46266</v>
      </c>
      <c r="C1188" s="3" t="s">
        <v>59</v>
      </c>
      <c r="D1188" s="3" t="s">
        <v>60</v>
      </c>
      <c r="E1188" s="3" t="s">
        <v>27</v>
      </c>
      <c r="F1188" s="3" t="n">
        <v>55</v>
      </c>
      <c r="G1188" s="36" t="n">
        <v>0.6</v>
      </c>
      <c r="H1188" s="36" t="n">
        <f aca="false">F1188*G1188</f>
        <v>33</v>
      </c>
      <c r="I1188" s="36" t="n">
        <f aca="false">INDEX(Inventory!$D$2:$D$17,MATCH(C1188,Inventory!$A$2:$A$17,0))</f>
        <v>0.3</v>
      </c>
      <c r="J1188" s="36" t="n">
        <f aca="false">F1188*I1188</f>
        <v>16.5</v>
      </c>
      <c r="K1188" s="36" t="n">
        <f aca="false">H1188-J1188</f>
        <v>16.5</v>
      </c>
    </row>
    <row r="1189" customFormat="false" ht="15" hidden="false" customHeight="false" outlineLevel="0" collapsed="false">
      <c r="A1189" s="41" t="n">
        <v>46278</v>
      </c>
      <c r="B1189" s="42" t="n">
        <f aca="false">DATE(YEAR(A1189),MONTH(A1189),1)</f>
        <v>46266</v>
      </c>
      <c r="C1189" s="3" t="s">
        <v>57</v>
      </c>
      <c r="D1189" s="3" t="s">
        <v>58</v>
      </c>
      <c r="E1189" s="3" t="s">
        <v>27</v>
      </c>
      <c r="F1189" s="3" t="n">
        <v>14</v>
      </c>
      <c r="G1189" s="36" t="n">
        <v>1.5</v>
      </c>
      <c r="H1189" s="36" t="n">
        <f aca="false">F1189*G1189</f>
        <v>21</v>
      </c>
      <c r="I1189" s="36" t="n">
        <f aca="false">INDEX(Inventory!$D$2:$D$17,MATCH(C1189,Inventory!$A$2:$A$17,0))</f>
        <v>0.9</v>
      </c>
      <c r="J1189" s="36" t="n">
        <f aca="false">F1189*I1189</f>
        <v>12.6</v>
      </c>
      <c r="K1189" s="36" t="n">
        <f aca="false">H1189-J1189</f>
        <v>8.4</v>
      </c>
    </row>
    <row r="1190" customFormat="false" ht="15" hidden="false" customHeight="false" outlineLevel="0" collapsed="false">
      <c r="A1190" s="41" t="n">
        <v>46278</v>
      </c>
      <c r="B1190" s="42" t="n">
        <f aca="false">DATE(YEAR(A1190),MONTH(A1190),1)</f>
        <v>46266</v>
      </c>
      <c r="C1190" s="3" t="s">
        <v>41</v>
      </c>
      <c r="D1190" s="3" t="s">
        <v>42</v>
      </c>
      <c r="E1190" s="3" t="s">
        <v>28</v>
      </c>
      <c r="F1190" s="3" t="n">
        <v>22</v>
      </c>
      <c r="G1190" s="36" t="n">
        <v>1.3</v>
      </c>
      <c r="H1190" s="36" t="n">
        <f aca="false">F1190*G1190</f>
        <v>28.6</v>
      </c>
      <c r="I1190" s="36" t="n">
        <f aca="false">INDEX(Inventory!$D$2:$D$17,MATCH(C1190,Inventory!$A$2:$A$17,0))</f>
        <v>0.8</v>
      </c>
      <c r="J1190" s="36" t="n">
        <f aca="false">F1190*I1190</f>
        <v>17.6</v>
      </c>
      <c r="K1190" s="36" t="n">
        <f aca="false">H1190-J1190</f>
        <v>11</v>
      </c>
    </row>
    <row r="1191" customFormat="false" ht="15" hidden="false" customHeight="false" outlineLevel="0" collapsed="false">
      <c r="A1191" s="41" t="n">
        <v>46278</v>
      </c>
      <c r="B1191" s="42" t="n">
        <f aca="false">DATE(YEAR(A1191),MONTH(A1191),1)</f>
        <v>46266</v>
      </c>
      <c r="C1191" s="3" t="s">
        <v>63</v>
      </c>
      <c r="D1191" s="3" t="s">
        <v>64</v>
      </c>
      <c r="E1191" s="3" t="s">
        <v>28</v>
      </c>
      <c r="F1191" s="3" t="n">
        <v>18</v>
      </c>
      <c r="G1191" s="36" t="n">
        <v>0.9</v>
      </c>
      <c r="H1191" s="36" t="n">
        <f aca="false">F1191*G1191</f>
        <v>16.2</v>
      </c>
      <c r="I1191" s="36" t="n">
        <f aca="false">INDEX(Inventory!$D$2:$D$17,MATCH(C1191,Inventory!$A$2:$A$17,0))</f>
        <v>0.5</v>
      </c>
      <c r="J1191" s="36" t="n">
        <f aca="false">F1191*I1191</f>
        <v>9</v>
      </c>
      <c r="K1191" s="36" t="n">
        <f aca="false">H1191-J1191</f>
        <v>7.2</v>
      </c>
    </row>
    <row r="1192" customFormat="false" ht="15" hidden="false" customHeight="false" outlineLevel="0" collapsed="false">
      <c r="A1192" s="41" t="n">
        <v>46278</v>
      </c>
      <c r="B1192" s="42" t="n">
        <f aca="false">DATE(YEAR(A1192),MONTH(A1192),1)</f>
        <v>46266</v>
      </c>
      <c r="C1192" s="3" t="s">
        <v>49</v>
      </c>
      <c r="D1192" s="3" t="s">
        <v>50</v>
      </c>
      <c r="E1192" s="3" t="s">
        <v>28</v>
      </c>
      <c r="F1192" s="3" t="n">
        <v>21</v>
      </c>
      <c r="G1192" s="36" t="n">
        <v>1.2</v>
      </c>
      <c r="H1192" s="36" t="n">
        <f aca="false">F1192*G1192</f>
        <v>25.2</v>
      </c>
      <c r="I1192" s="36" t="n">
        <f aca="false">INDEX(Inventory!$D$2:$D$17,MATCH(C1192,Inventory!$A$2:$A$17,0))</f>
        <v>0.7</v>
      </c>
      <c r="J1192" s="36" t="n">
        <f aca="false">F1192*I1192</f>
        <v>14.7</v>
      </c>
      <c r="K1192" s="36" t="n">
        <f aca="false">H1192-J1192</f>
        <v>10.5</v>
      </c>
    </row>
    <row r="1193" customFormat="false" ht="15" hidden="false" customHeight="false" outlineLevel="0" collapsed="false">
      <c r="A1193" s="41" t="n">
        <v>46278</v>
      </c>
      <c r="B1193" s="42" t="n">
        <f aca="false">DATE(YEAR(A1193),MONTH(A1193),1)</f>
        <v>46266</v>
      </c>
      <c r="C1193" s="3" t="s">
        <v>51</v>
      </c>
      <c r="D1193" s="3" t="s">
        <v>52</v>
      </c>
      <c r="E1193" s="3" t="s">
        <v>28</v>
      </c>
      <c r="F1193" s="3" t="n">
        <v>25</v>
      </c>
      <c r="G1193" s="36" t="n">
        <v>0.85</v>
      </c>
      <c r="H1193" s="36" t="n">
        <f aca="false">F1193*G1193</f>
        <v>21.25</v>
      </c>
      <c r="I1193" s="36" t="n">
        <f aca="false">INDEX(Inventory!$D$2:$D$17,MATCH(C1193,Inventory!$A$2:$A$17,0))</f>
        <v>0.45</v>
      </c>
      <c r="J1193" s="36" t="n">
        <f aca="false">F1193*I1193</f>
        <v>11.25</v>
      </c>
      <c r="K1193" s="36" t="n">
        <f aca="false">H1193-J1193</f>
        <v>10</v>
      </c>
    </row>
    <row r="1194" customFormat="false" ht="15" hidden="false" customHeight="false" outlineLevel="0" collapsed="false">
      <c r="A1194" s="41" t="n">
        <v>46278</v>
      </c>
      <c r="B1194" s="42" t="n">
        <f aca="false">DATE(YEAR(A1194),MONTH(A1194),1)</f>
        <v>46266</v>
      </c>
      <c r="C1194" s="3" t="s">
        <v>37</v>
      </c>
      <c r="D1194" s="3" t="s">
        <v>38</v>
      </c>
      <c r="E1194" s="3" t="s">
        <v>26</v>
      </c>
      <c r="F1194" s="3" t="n">
        <v>35</v>
      </c>
      <c r="G1194" s="36" t="n">
        <v>1.2</v>
      </c>
      <c r="H1194" s="36" t="n">
        <f aca="false">F1194*G1194</f>
        <v>42</v>
      </c>
      <c r="I1194" s="36" t="n">
        <f aca="false">INDEX(Inventory!$D$2:$D$17,MATCH(C1194,Inventory!$A$2:$A$17,0))</f>
        <v>0.85</v>
      </c>
      <c r="J1194" s="36" t="n">
        <f aca="false">F1194*I1194</f>
        <v>29.75</v>
      </c>
      <c r="K1194" s="36" t="n">
        <f aca="false">H1194-J1194</f>
        <v>12.25</v>
      </c>
    </row>
    <row r="1195" customFormat="false" ht="15" hidden="false" customHeight="false" outlineLevel="0" collapsed="false">
      <c r="A1195" s="41" t="n">
        <v>46278</v>
      </c>
      <c r="B1195" s="42" t="n">
        <f aca="false">DATE(YEAR(A1195),MONTH(A1195),1)</f>
        <v>46266</v>
      </c>
      <c r="C1195" s="3" t="s">
        <v>47</v>
      </c>
      <c r="D1195" s="3" t="s">
        <v>48</v>
      </c>
      <c r="E1195" s="3" t="s">
        <v>26</v>
      </c>
      <c r="F1195" s="3" t="n">
        <v>14</v>
      </c>
      <c r="G1195" s="36" t="n">
        <v>2.2</v>
      </c>
      <c r="H1195" s="36" t="n">
        <f aca="false">F1195*G1195</f>
        <v>30.8</v>
      </c>
      <c r="I1195" s="36" t="n">
        <f aca="false">INDEX(Inventory!$D$2:$D$17,MATCH(C1195,Inventory!$A$2:$A$17,0))</f>
        <v>1.4</v>
      </c>
      <c r="J1195" s="36" t="n">
        <f aca="false">F1195*I1195</f>
        <v>19.6</v>
      </c>
      <c r="K1195" s="36" t="n">
        <f aca="false">H1195-J1195</f>
        <v>11.2</v>
      </c>
    </row>
    <row r="1196" customFormat="false" ht="15" hidden="false" customHeight="false" outlineLevel="0" collapsed="false">
      <c r="A1196" s="41" t="n">
        <v>46278</v>
      </c>
      <c r="B1196" s="42" t="n">
        <f aca="false">DATE(YEAR(A1196),MONTH(A1196),1)</f>
        <v>46266</v>
      </c>
      <c r="C1196" s="3" t="s">
        <v>43</v>
      </c>
      <c r="D1196" s="3" t="s">
        <v>44</v>
      </c>
      <c r="E1196" s="3" t="s">
        <v>26</v>
      </c>
      <c r="F1196" s="3" t="n">
        <v>8</v>
      </c>
      <c r="G1196" s="36" t="n">
        <v>3.8</v>
      </c>
      <c r="H1196" s="36" t="n">
        <f aca="false">F1196*G1196</f>
        <v>30.4</v>
      </c>
      <c r="I1196" s="36" t="n">
        <f aca="false">INDEX(Inventory!$D$2:$D$17,MATCH(C1196,Inventory!$A$2:$A$17,0))</f>
        <v>2.6</v>
      </c>
      <c r="J1196" s="36" t="n">
        <f aca="false">F1196*I1196</f>
        <v>20.8</v>
      </c>
      <c r="K1196" s="36" t="n">
        <f aca="false">H1196-J1196</f>
        <v>9.6</v>
      </c>
    </row>
    <row r="1197" customFormat="false" ht="15" hidden="false" customHeight="false" outlineLevel="0" collapsed="false">
      <c r="A1197" s="41" t="n">
        <v>46278</v>
      </c>
      <c r="B1197" s="42" t="n">
        <f aca="false">DATE(YEAR(A1197),MONTH(A1197),1)</f>
        <v>46266</v>
      </c>
      <c r="C1197" s="3" t="s">
        <v>67</v>
      </c>
      <c r="D1197" s="3" t="s">
        <v>68</v>
      </c>
      <c r="E1197" s="3" t="s">
        <v>26</v>
      </c>
      <c r="F1197" s="3" t="n">
        <v>11</v>
      </c>
      <c r="G1197" s="36" t="n">
        <v>1.9</v>
      </c>
      <c r="H1197" s="36" t="n">
        <f aca="false">F1197*G1197</f>
        <v>20.9</v>
      </c>
      <c r="I1197" s="36" t="n">
        <f aca="false">INDEX(Inventory!$D$2:$D$17,MATCH(C1197,Inventory!$A$2:$A$17,0))</f>
        <v>1.3</v>
      </c>
      <c r="J1197" s="36" t="n">
        <f aca="false">F1197*I1197</f>
        <v>14.3</v>
      </c>
      <c r="K1197" s="36" t="n">
        <f aca="false">H1197-J1197</f>
        <v>6.6</v>
      </c>
    </row>
    <row r="1198" customFormat="false" ht="15" hidden="false" customHeight="false" outlineLevel="0" collapsed="false">
      <c r="A1198" s="41" t="n">
        <v>46278</v>
      </c>
      <c r="B1198" s="42" t="n">
        <f aca="false">DATE(YEAR(A1198),MONTH(A1198),1)</f>
        <v>46266</v>
      </c>
      <c r="C1198" s="3" t="s">
        <v>61</v>
      </c>
      <c r="D1198" s="3" t="s">
        <v>62</v>
      </c>
      <c r="E1198" s="3" t="s">
        <v>29</v>
      </c>
      <c r="F1198" s="3" t="n">
        <v>10</v>
      </c>
      <c r="G1198" s="36" t="n">
        <v>1.9</v>
      </c>
      <c r="H1198" s="36" t="n">
        <f aca="false">F1198*G1198</f>
        <v>19</v>
      </c>
      <c r="I1198" s="36" t="n">
        <f aca="false">INDEX(Inventory!$D$2:$D$17,MATCH(C1198,Inventory!$A$2:$A$17,0))</f>
        <v>1.1</v>
      </c>
      <c r="J1198" s="36" t="n">
        <f aca="false">F1198*I1198</f>
        <v>11</v>
      </c>
      <c r="K1198" s="36" t="n">
        <f aca="false">H1198-J1198</f>
        <v>8</v>
      </c>
    </row>
    <row r="1199" customFormat="false" ht="15" hidden="false" customHeight="false" outlineLevel="0" collapsed="false">
      <c r="A1199" s="41" t="n">
        <v>46278</v>
      </c>
      <c r="B1199" s="42" t="n">
        <f aca="false">DATE(YEAR(A1199),MONTH(A1199),1)</f>
        <v>46266</v>
      </c>
      <c r="C1199" s="3" t="s">
        <v>45</v>
      </c>
      <c r="D1199" s="3" t="s">
        <v>46</v>
      </c>
      <c r="E1199" s="3" t="s">
        <v>29</v>
      </c>
      <c r="F1199" s="3" t="n">
        <v>5</v>
      </c>
      <c r="G1199" s="36" t="n">
        <v>5.2</v>
      </c>
      <c r="H1199" s="36" t="n">
        <f aca="false">F1199*G1199</f>
        <v>26</v>
      </c>
      <c r="I1199" s="36" t="n">
        <f aca="false">INDEX(Inventory!$D$2:$D$17,MATCH(C1199,Inventory!$A$2:$A$17,0))</f>
        <v>3.5</v>
      </c>
      <c r="J1199" s="36" t="n">
        <f aca="false">F1199*I1199</f>
        <v>17.5</v>
      </c>
      <c r="K1199" s="36" t="n">
        <f aca="false">H1199-J1199</f>
        <v>8.5</v>
      </c>
    </row>
    <row r="1200" customFormat="false" ht="15" hidden="false" customHeight="false" outlineLevel="0" collapsed="false">
      <c r="A1200" s="41" t="n">
        <v>46278</v>
      </c>
      <c r="B1200" s="42" t="n">
        <f aca="false">DATE(YEAR(A1200),MONTH(A1200),1)</f>
        <v>46266</v>
      </c>
      <c r="C1200" s="3" t="s">
        <v>65</v>
      </c>
      <c r="D1200" s="3" t="s">
        <v>66</v>
      </c>
      <c r="E1200" s="3" t="s">
        <v>29</v>
      </c>
      <c r="F1200" s="3" t="n">
        <v>12</v>
      </c>
      <c r="G1200" s="36" t="n">
        <v>1.5</v>
      </c>
      <c r="H1200" s="36" t="n">
        <f aca="false">F1200*G1200</f>
        <v>18</v>
      </c>
      <c r="I1200" s="36" t="n">
        <f aca="false">INDEX(Inventory!$D$2:$D$17,MATCH(C1200,Inventory!$A$2:$A$17,0))</f>
        <v>0.9</v>
      </c>
      <c r="J1200" s="36" t="n">
        <f aca="false">F1200*I1200</f>
        <v>10.8</v>
      </c>
      <c r="K1200" s="36" t="n">
        <f aca="false">H1200-J1200</f>
        <v>7.2</v>
      </c>
    </row>
    <row r="1201" customFormat="false" ht="15" hidden="false" customHeight="false" outlineLevel="0" collapsed="false">
      <c r="A1201" s="41" t="n">
        <v>46278</v>
      </c>
      <c r="B1201" s="42" t="n">
        <f aca="false">DATE(YEAR(A1201),MONTH(A1201),1)</f>
        <v>46266</v>
      </c>
      <c r="C1201" s="3" t="s">
        <v>55</v>
      </c>
      <c r="D1201" s="3" t="s">
        <v>56</v>
      </c>
      <c r="E1201" s="3" t="s">
        <v>29</v>
      </c>
      <c r="F1201" s="3" t="n">
        <v>9</v>
      </c>
      <c r="G1201" s="36" t="n">
        <v>2.5</v>
      </c>
      <c r="H1201" s="36" t="n">
        <f aca="false">F1201*G1201</f>
        <v>22.5</v>
      </c>
      <c r="I1201" s="36" t="n">
        <f aca="false">INDEX(Inventory!$D$2:$D$17,MATCH(C1201,Inventory!$A$2:$A$17,0))</f>
        <v>1.6</v>
      </c>
      <c r="J1201" s="36" t="n">
        <f aca="false">F1201*I1201</f>
        <v>14.4</v>
      </c>
      <c r="K1201" s="36" t="n">
        <f aca="false">H1201-J1201</f>
        <v>8.1</v>
      </c>
    </row>
    <row r="1202" customFormat="false" ht="15" hidden="false" customHeight="false" outlineLevel="0" collapsed="false">
      <c r="A1202" s="41" t="n">
        <v>46279</v>
      </c>
      <c r="B1202" s="42" t="n">
        <f aca="false">DATE(YEAR(A1202),MONTH(A1202),1)</f>
        <v>46266</v>
      </c>
      <c r="C1202" s="3" t="s">
        <v>39</v>
      </c>
      <c r="D1202" s="3" t="s">
        <v>40</v>
      </c>
      <c r="E1202" s="3" t="s">
        <v>27</v>
      </c>
      <c r="F1202" s="3" t="n">
        <v>31</v>
      </c>
      <c r="G1202" s="36" t="n">
        <v>1</v>
      </c>
      <c r="H1202" s="36" t="n">
        <f aca="false">F1202*G1202</f>
        <v>31</v>
      </c>
      <c r="I1202" s="36" t="n">
        <f aca="false">INDEX(Inventory!$D$2:$D$17,MATCH(C1202,Inventory!$A$2:$A$17,0))</f>
        <v>0.6</v>
      </c>
      <c r="J1202" s="36" t="n">
        <f aca="false">F1202*I1202</f>
        <v>18.6</v>
      </c>
      <c r="K1202" s="36" t="n">
        <f aca="false">H1202-J1202</f>
        <v>12.4</v>
      </c>
    </row>
    <row r="1203" customFormat="false" ht="15" hidden="false" customHeight="false" outlineLevel="0" collapsed="false">
      <c r="A1203" s="41" t="n">
        <v>46279</v>
      </c>
      <c r="B1203" s="42" t="n">
        <f aca="false">DATE(YEAR(A1203),MONTH(A1203),1)</f>
        <v>46266</v>
      </c>
      <c r="C1203" s="3" t="s">
        <v>53</v>
      </c>
      <c r="D1203" s="3" t="s">
        <v>54</v>
      </c>
      <c r="E1203" s="3" t="s">
        <v>27</v>
      </c>
      <c r="F1203" s="3" t="n">
        <v>17</v>
      </c>
      <c r="G1203" s="36" t="n">
        <v>0.95</v>
      </c>
      <c r="H1203" s="36" t="n">
        <f aca="false">F1203*G1203</f>
        <v>16.15</v>
      </c>
      <c r="I1203" s="36" t="n">
        <f aca="false">INDEX(Inventory!$D$2:$D$17,MATCH(C1203,Inventory!$A$2:$A$17,0))</f>
        <v>0.55</v>
      </c>
      <c r="J1203" s="36" t="n">
        <f aca="false">F1203*I1203</f>
        <v>9.35</v>
      </c>
      <c r="K1203" s="36" t="n">
        <f aca="false">H1203-J1203</f>
        <v>6.8</v>
      </c>
    </row>
    <row r="1204" customFormat="false" ht="15" hidden="false" customHeight="false" outlineLevel="0" collapsed="false">
      <c r="A1204" s="41" t="n">
        <v>46279</v>
      </c>
      <c r="B1204" s="42" t="n">
        <f aca="false">DATE(YEAR(A1204),MONTH(A1204),1)</f>
        <v>46266</v>
      </c>
      <c r="C1204" s="3" t="s">
        <v>59</v>
      </c>
      <c r="D1204" s="3" t="s">
        <v>60</v>
      </c>
      <c r="E1204" s="3" t="s">
        <v>27</v>
      </c>
      <c r="F1204" s="3" t="n">
        <v>25</v>
      </c>
      <c r="G1204" s="36" t="n">
        <v>0.6</v>
      </c>
      <c r="H1204" s="36" t="n">
        <f aca="false">F1204*G1204</f>
        <v>15</v>
      </c>
      <c r="I1204" s="36" t="n">
        <f aca="false">INDEX(Inventory!$D$2:$D$17,MATCH(C1204,Inventory!$A$2:$A$17,0))</f>
        <v>0.3</v>
      </c>
      <c r="J1204" s="36" t="n">
        <f aca="false">F1204*I1204</f>
        <v>7.5</v>
      </c>
      <c r="K1204" s="36" t="n">
        <f aca="false">H1204-J1204</f>
        <v>7.5</v>
      </c>
    </row>
    <row r="1205" customFormat="false" ht="15" hidden="false" customHeight="false" outlineLevel="0" collapsed="false">
      <c r="A1205" s="41" t="n">
        <v>46279</v>
      </c>
      <c r="B1205" s="42" t="n">
        <f aca="false">DATE(YEAR(A1205),MONTH(A1205),1)</f>
        <v>46266</v>
      </c>
      <c r="C1205" s="3" t="s">
        <v>57</v>
      </c>
      <c r="D1205" s="3" t="s">
        <v>58</v>
      </c>
      <c r="E1205" s="3" t="s">
        <v>27</v>
      </c>
      <c r="F1205" s="3" t="n">
        <v>11</v>
      </c>
      <c r="G1205" s="36" t="n">
        <v>1.5</v>
      </c>
      <c r="H1205" s="36" t="n">
        <f aca="false">F1205*G1205</f>
        <v>16.5</v>
      </c>
      <c r="I1205" s="36" t="n">
        <f aca="false">INDEX(Inventory!$D$2:$D$17,MATCH(C1205,Inventory!$A$2:$A$17,0))</f>
        <v>0.9</v>
      </c>
      <c r="J1205" s="36" t="n">
        <f aca="false">F1205*I1205</f>
        <v>9.9</v>
      </c>
      <c r="K1205" s="36" t="n">
        <f aca="false">H1205-J1205</f>
        <v>6.6</v>
      </c>
    </row>
    <row r="1206" customFormat="false" ht="15" hidden="false" customHeight="false" outlineLevel="0" collapsed="false">
      <c r="A1206" s="41" t="n">
        <v>46279</v>
      </c>
      <c r="B1206" s="42" t="n">
        <f aca="false">DATE(YEAR(A1206),MONTH(A1206),1)</f>
        <v>46266</v>
      </c>
      <c r="C1206" s="3" t="s">
        <v>41</v>
      </c>
      <c r="D1206" s="3" t="s">
        <v>42</v>
      </c>
      <c r="E1206" s="3" t="s">
        <v>28</v>
      </c>
      <c r="F1206" s="3" t="n">
        <v>18</v>
      </c>
      <c r="G1206" s="36" t="n">
        <v>1.3</v>
      </c>
      <c r="H1206" s="36" t="n">
        <f aca="false">F1206*G1206</f>
        <v>23.4</v>
      </c>
      <c r="I1206" s="36" t="n">
        <f aca="false">INDEX(Inventory!$D$2:$D$17,MATCH(C1206,Inventory!$A$2:$A$17,0))</f>
        <v>0.8</v>
      </c>
      <c r="J1206" s="36" t="n">
        <f aca="false">F1206*I1206</f>
        <v>14.4</v>
      </c>
      <c r="K1206" s="36" t="n">
        <f aca="false">H1206-J1206</f>
        <v>9</v>
      </c>
    </row>
    <row r="1207" customFormat="false" ht="15" hidden="false" customHeight="false" outlineLevel="0" collapsed="false">
      <c r="A1207" s="41" t="n">
        <v>46279</v>
      </c>
      <c r="B1207" s="42" t="n">
        <f aca="false">DATE(YEAR(A1207),MONTH(A1207),1)</f>
        <v>46266</v>
      </c>
      <c r="C1207" s="3" t="s">
        <v>63</v>
      </c>
      <c r="D1207" s="3" t="s">
        <v>64</v>
      </c>
      <c r="E1207" s="3" t="s">
        <v>28</v>
      </c>
      <c r="F1207" s="3" t="n">
        <v>17</v>
      </c>
      <c r="G1207" s="36" t="n">
        <v>0.9</v>
      </c>
      <c r="H1207" s="36" t="n">
        <f aca="false">F1207*G1207</f>
        <v>15.3</v>
      </c>
      <c r="I1207" s="36" t="n">
        <f aca="false">INDEX(Inventory!$D$2:$D$17,MATCH(C1207,Inventory!$A$2:$A$17,0))</f>
        <v>0.5</v>
      </c>
      <c r="J1207" s="36" t="n">
        <f aca="false">F1207*I1207</f>
        <v>8.5</v>
      </c>
      <c r="K1207" s="36" t="n">
        <f aca="false">H1207-J1207</f>
        <v>6.8</v>
      </c>
    </row>
    <row r="1208" customFormat="false" ht="15" hidden="false" customHeight="false" outlineLevel="0" collapsed="false">
      <c r="A1208" s="41" t="n">
        <v>46279</v>
      </c>
      <c r="B1208" s="42" t="n">
        <f aca="false">DATE(YEAR(A1208),MONTH(A1208),1)</f>
        <v>46266</v>
      </c>
      <c r="C1208" s="3" t="s">
        <v>49</v>
      </c>
      <c r="D1208" s="3" t="s">
        <v>50</v>
      </c>
      <c r="E1208" s="3" t="s">
        <v>28</v>
      </c>
      <c r="F1208" s="3" t="n">
        <v>15</v>
      </c>
      <c r="G1208" s="36" t="n">
        <v>1.2</v>
      </c>
      <c r="H1208" s="36" t="n">
        <f aca="false">F1208*G1208</f>
        <v>18</v>
      </c>
      <c r="I1208" s="36" t="n">
        <f aca="false">INDEX(Inventory!$D$2:$D$17,MATCH(C1208,Inventory!$A$2:$A$17,0))</f>
        <v>0.7</v>
      </c>
      <c r="J1208" s="36" t="n">
        <f aca="false">F1208*I1208</f>
        <v>10.5</v>
      </c>
      <c r="K1208" s="36" t="n">
        <f aca="false">H1208-J1208</f>
        <v>7.5</v>
      </c>
    </row>
    <row r="1209" customFormat="false" ht="15" hidden="false" customHeight="false" outlineLevel="0" collapsed="false">
      <c r="A1209" s="41" t="n">
        <v>46279</v>
      </c>
      <c r="B1209" s="42" t="n">
        <f aca="false">DATE(YEAR(A1209),MONTH(A1209),1)</f>
        <v>46266</v>
      </c>
      <c r="C1209" s="3" t="s">
        <v>51</v>
      </c>
      <c r="D1209" s="3" t="s">
        <v>52</v>
      </c>
      <c r="E1209" s="3" t="s">
        <v>28</v>
      </c>
      <c r="F1209" s="3" t="n">
        <v>28</v>
      </c>
      <c r="G1209" s="36" t="n">
        <v>0.85</v>
      </c>
      <c r="H1209" s="36" t="n">
        <f aca="false">F1209*G1209</f>
        <v>23.8</v>
      </c>
      <c r="I1209" s="36" t="n">
        <f aca="false">INDEX(Inventory!$D$2:$D$17,MATCH(C1209,Inventory!$A$2:$A$17,0))</f>
        <v>0.45</v>
      </c>
      <c r="J1209" s="36" t="n">
        <f aca="false">F1209*I1209</f>
        <v>12.6</v>
      </c>
      <c r="K1209" s="36" t="n">
        <f aca="false">H1209-J1209</f>
        <v>11.2</v>
      </c>
    </row>
    <row r="1210" customFormat="false" ht="15" hidden="false" customHeight="false" outlineLevel="0" collapsed="false">
      <c r="A1210" s="41" t="n">
        <v>46279</v>
      </c>
      <c r="B1210" s="42" t="n">
        <f aca="false">DATE(YEAR(A1210),MONTH(A1210),1)</f>
        <v>46266</v>
      </c>
      <c r="C1210" s="3" t="s">
        <v>37</v>
      </c>
      <c r="D1210" s="3" t="s">
        <v>38</v>
      </c>
      <c r="E1210" s="3" t="s">
        <v>26</v>
      </c>
      <c r="F1210" s="3" t="n">
        <v>29</v>
      </c>
      <c r="G1210" s="36" t="n">
        <v>1.2</v>
      </c>
      <c r="H1210" s="36" t="n">
        <f aca="false">F1210*G1210</f>
        <v>34.8</v>
      </c>
      <c r="I1210" s="36" t="n">
        <f aca="false">INDEX(Inventory!$D$2:$D$17,MATCH(C1210,Inventory!$A$2:$A$17,0))</f>
        <v>0.85</v>
      </c>
      <c r="J1210" s="36" t="n">
        <f aca="false">F1210*I1210</f>
        <v>24.65</v>
      </c>
      <c r="K1210" s="36" t="n">
        <f aca="false">H1210-J1210</f>
        <v>10.15</v>
      </c>
    </row>
    <row r="1211" customFormat="false" ht="15" hidden="false" customHeight="false" outlineLevel="0" collapsed="false">
      <c r="A1211" s="41" t="n">
        <v>46279</v>
      </c>
      <c r="B1211" s="42" t="n">
        <f aca="false">DATE(YEAR(A1211),MONTH(A1211),1)</f>
        <v>46266</v>
      </c>
      <c r="C1211" s="3" t="s">
        <v>47</v>
      </c>
      <c r="D1211" s="3" t="s">
        <v>48</v>
      </c>
      <c r="E1211" s="3" t="s">
        <v>26</v>
      </c>
      <c r="F1211" s="3" t="n">
        <v>13</v>
      </c>
      <c r="G1211" s="36" t="n">
        <v>2.2</v>
      </c>
      <c r="H1211" s="36" t="n">
        <f aca="false">F1211*G1211</f>
        <v>28.6</v>
      </c>
      <c r="I1211" s="36" t="n">
        <f aca="false">INDEX(Inventory!$D$2:$D$17,MATCH(C1211,Inventory!$A$2:$A$17,0))</f>
        <v>1.4</v>
      </c>
      <c r="J1211" s="36" t="n">
        <f aca="false">F1211*I1211</f>
        <v>18.2</v>
      </c>
      <c r="K1211" s="36" t="n">
        <f aca="false">H1211-J1211</f>
        <v>10.4</v>
      </c>
    </row>
    <row r="1212" customFormat="false" ht="15" hidden="false" customHeight="false" outlineLevel="0" collapsed="false">
      <c r="A1212" s="41" t="n">
        <v>46279</v>
      </c>
      <c r="B1212" s="42" t="n">
        <f aca="false">DATE(YEAR(A1212),MONTH(A1212),1)</f>
        <v>46266</v>
      </c>
      <c r="C1212" s="3" t="s">
        <v>43</v>
      </c>
      <c r="D1212" s="3" t="s">
        <v>44</v>
      </c>
      <c r="E1212" s="3" t="s">
        <v>26</v>
      </c>
      <c r="F1212" s="3" t="n">
        <v>9</v>
      </c>
      <c r="G1212" s="36" t="n">
        <v>3.8</v>
      </c>
      <c r="H1212" s="36" t="n">
        <f aca="false">F1212*G1212</f>
        <v>34.2</v>
      </c>
      <c r="I1212" s="36" t="n">
        <f aca="false">INDEX(Inventory!$D$2:$D$17,MATCH(C1212,Inventory!$A$2:$A$17,0))</f>
        <v>2.6</v>
      </c>
      <c r="J1212" s="36" t="n">
        <f aca="false">F1212*I1212</f>
        <v>23.4</v>
      </c>
      <c r="K1212" s="36" t="n">
        <f aca="false">H1212-J1212</f>
        <v>10.8</v>
      </c>
    </row>
    <row r="1213" customFormat="false" ht="15" hidden="false" customHeight="false" outlineLevel="0" collapsed="false">
      <c r="A1213" s="41" t="n">
        <v>46279</v>
      </c>
      <c r="B1213" s="42" t="n">
        <f aca="false">DATE(YEAR(A1213),MONTH(A1213),1)</f>
        <v>46266</v>
      </c>
      <c r="C1213" s="3" t="s">
        <v>67</v>
      </c>
      <c r="D1213" s="3" t="s">
        <v>68</v>
      </c>
      <c r="E1213" s="3" t="s">
        <v>26</v>
      </c>
      <c r="F1213" s="3" t="n">
        <v>8</v>
      </c>
      <c r="G1213" s="36" t="n">
        <v>1.9</v>
      </c>
      <c r="H1213" s="36" t="n">
        <f aca="false">F1213*G1213</f>
        <v>15.2</v>
      </c>
      <c r="I1213" s="36" t="n">
        <f aca="false">INDEX(Inventory!$D$2:$D$17,MATCH(C1213,Inventory!$A$2:$A$17,0))</f>
        <v>1.3</v>
      </c>
      <c r="J1213" s="36" t="n">
        <f aca="false">F1213*I1213</f>
        <v>10.4</v>
      </c>
      <c r="K1213" s="36" t="n">
        <f aca="false">H1213-J1213</f>
        <v>4.8</v>
      </c>
    </row>
    <row r="1214" customFormat="false" ht="15" hidden="false" customHeight="false" outlineLevel="0" collapsed="false">
      <c r="A1214" s="41" t="n">
        <v>46279</v>
      </c>
      <c r="B1214" s="42" t="n">
        <f aca="false">DATE(YEAR(A1214),MONTH(A1214),1)</f>
        <v>46266</v>
      </c>
      <c r="C1214" s="3" t="s">
        <v>61</v>
      </c>
      <c r="D1214" s="3" t="s">
        <v>62</v>
      </c>
      <c r="E1214" s="3" t="s">
        <v>29</v>
      </c>
      <c r="F1214" s="3" t="n">
        <v>11</v>
      </c>
      <c r="G1214" s="36" t="n">
        <v>1.9</v>
      </c>
      <c r="H1214" s="36" t="n">
        <f aca="false">F1214*G1214</f>
        <v>20.9</v>
      </c>
      <c r="I1214" s="36" t="n">
        <f aca="false">INDEX(Inventory!$D$2:$D$17,MATCH(C1214,Inventory!$A$2:$A$17,0))</f>
        <v>1.1</v>
      </c>
      <c r="J1214" s="36" t="n">
        <f aca="false">F1214*I1214</f>
        <v>12.1</v>
      </c>
      <c r="K1214" s="36" t="n">
        <f aca="false">H1214-J1214</f>
        <v>8.8</v>
      </c>
    </row>
    <row r="1215" customFormat="false" ht="15" hidden="false" customHeight="false" outlineLevel="0" collapsed="false">
      <c r="A1215" s="41" t="n">
        <v>46279</v>
      </c>
      <c r="B1215" s="42" t="n">
        <f aca="false">DATE(YEAR(A1215),MONTH(A1215),1)</f>
        <v>46266</v>
      </c>
      <c r="C1215" s="3" t="s">
        <v>45</v>
      </c>
      <c r="D1215" s="3" t="s">
        <v>46</v>
      </c>
      <c r="E1215" s="3" t="s">
        <v>29</v>
      </c>
      <c r="F1215" s="3" t="n">
        <v>5</v>
      </c>
      <c r="G1215" s="36" t="n">
        <v>5.2</v>
      </c>
      <c r="H1215" s="36" t="n">
        <f aca="false">F1215*G1215</f>
        <v>26</v>
      </c>
      <c r="I1215" s="36" t="n">
        <f aca="false">INDEX(Inventory!$D$2:$D$17,MATCH(C1215,Inventory!$A$2:$A$17,0))</f>
        <v>3.5</v>
      </c>
      <c r="J1215" s="36" t="n">
        <f aca="false">F1215*I1215</f>
        <v>17.5</v>
      </c>
      <c r="K1215" s="36" t="n">
        <f aca="false">H1215-J1215</f>
        <v>8.5</v>
      </c>
    </row>
    <row r="1216" customFormat="false" ht="15" hidden="false" customHeight="false" outlineLevel="0" collapsed="false">
      <c r="A1216" s="41" t="n">
        <v>46279</v>
      </c>
      <c r="B1216" s="42" t="n">
        <f aca="false">DATE(YEAR(A1216),MONTH(A1216),1)</f>
        <v>46266</v>
      </c>
      <c r="C1216" s="3" t="s">
        <v>65</v>
      </c>
      <c r="D1216" s="3" t="s">
        <v>66</v>
      </c>
      <c r="E1216" s="3" t="s">
        <v>29</v>
      </c>
      <c r="F1216" s="3" t="n">
        <v>8</v>
      </c>
      <c r="G1216" s="36" t="n">
        <v>1.5</v>
      </c>
      <c r="H1216" s="36" t="n">
        <f aca="false">F1216*G1216</f>
        <v>12</v>
      </c>
      <c r="I1216" s="36" t="n">
        <f aca="false">INDEX(Inventory!$D$2:$D$17,MATCH(C1216,Inventory!$A$2:$A$17,0))</f>
        <v>0.9</v>
      </c>
      <c r="J1216" s="36" t="n">
        <f aca="false">F1216*I1216</f>
        <v>7.2</v>
      </c>
      <c r="K1216" s="36" t="n">
        <f aca="false">H1216-J1216</f>
        <v>4.8</v>
      </c>
    </row>
    <row r="1217" customFormat="false" ht="15" hidden="false" customHeight="false" outlineLevel="0" collapsed="false">
      <c r="A1217" s="41" t="n">
        <v>46279</v>
      </c>
      <c r="B1217" s="42" t="n">
        <f aca="false">DATE(YEAR(A1217),MONTH(A1217),1)</f>
        <v>46266</v>
      </c>
      <c r="C1217" s="3" t="s">
        <v>55</v>
      </c>
      <c r="D1217" s="3" t="s">
        <v>56</v>
      </c>
      <c r="E1217" s="3" t="s">
        <v>29</v>
      </c>
      <c r="F1217" s="3" t="n">
        <v>4</v>
      </c>
      <c r="G1217" s="36" t="n">
        <v>2.5</v>
      </c>
      <c r="H1217" s="36" t="n">
        <f aca="false">F1217*G1217</f>
        <v>10</v>
      </c>
      <c r="I1217" s="36" t="n">
        <f aca="false">INDEX(Inventory!$D$2:$D$17,MATCH(C1217,Inventory!$A$2:$A$17,0))</f>
        <v>1.6</v>
      </c>
      <c r="J1217" s="36" t="n">
        <f aca="false">F1217*I1217</f>
        <v>6.4</v>
      </c>
      <c r="K1217" s="36" t="n">
        <f aca="false">H1217-J1217</f>
        <v>3.6</v>
      </c>
    </row>
    <row r="1218" customFormat="false" ht="15" hidden="false" customHeight="false" outlineLevel="0" collapsed="false">
      <c r="A1218" s="41" t="n">
        <v>46280</v>
      </c>
      <c r="B1218" s="42" t="n">
        <f aca="false">DATE(YEAR(A1218),MONTH(A1218),1)</f>
        <v>46266</v>
      </c>
      <c r="C1218" s="3" t="s">
        <v>39</v>
      </c>
      <c r="D1218" s="3" t="s">
        <v>40</v>
      </c>
      <c r="E1218" s="3" t="s">
        <v>27</v>
      </c>
      <c r="F1218" s="3" t="n">
        <v>30</v>
      </c>
      <c r="G1218" s="36" t="n">
        <v>1</v>
      </c>
      <c r="H1218" s="36" t="n">
        <f aca="false">F1218*G1218</f>
        <v>30</v>
      </c>
      <c r="I1218" s="36" t="n">
        <f aca="false">INDEX(Inventory!$D$2:$D$17,MATCH(C1218,Inventory!$A$2:$A$17,0))</f>
        <v>0.6</v>
      </c>
      <c r="J1218" s="36" t="n">
        <f aca="false">F1218*I1218</f>
        <v>18</v>
      </c>
      <c r="K1218" s="36" t="n">
        <f aca="false">H1218-J1218</f>
        <v>12</v>
      </c>
    </row>
    <row r="1219" customFormat="false" ht="15" hidden="false" customHeight="false" outlineLevel="0" collapsed="false">
      <c r="A1219" s="41" t="n">
        <v>46280</v>
      </c>
      <c r="B1219" s="42" t="n">
        <f aca="false">DATE(YEAR(A1219),MONTH(A1219),1)</f>
        <v>46266</v>
      </c>
      <c r="C1219" s="3" t="s">
        <v>53</v>
      </c>
      <c r="D1219" s="3" t="s">
        <v>54</v>
      </c>
      <c r="E1219" s="3" t="s">
        <v>27</v>
      </c>
      <c r="F1219" s="3" t="n">
        <v>16</v>
      </c>
      <c r="G1219" s="36" t="n">
        <v>0.95</v>
      </c>
      <c r="H1219" s="36" t="n">
        <f aca="false">F1219*G1219</f>
        <v>15.2</v>
      </c>
      <c r="I1219" s="36" t="n">
        <f aca="false">INDEX(Inventory!$D$2:$D$17,MATCH(C1219,Inventory!$A$2:$A$17,0))</f>
        <v>0.55</v>
      </c>
      <c r="J1219" s="36" t="n">
        <f aca="false">F1219*I1219</f>
        <v>8.8</v>
      </c>
      <c r="K1219" s="36" t="n">
        <f aca="false">H1219-J1219</f>
        <v>6.4</v>
      </c>
    </row>
    <row r="1220" customFormat="false" ht="15" hidden="false" customHeight="false" outlineLevel="0" collapsed="false">
      <c r="A1220" s="41" t="n">
        <v>46280</v>
      </c>
      <c r="B1220" s="42" t="n">
        <f aca="false">DATE(YEAR(A1220),MONTH(A1220),1)</f>
        <v>46266</v>
      </c>
      <c r="C1220" s="3" t="s">
        <v>59</v>
      </c>
      <c r="D1220" s="3" t="s">
        <v>60</v>
      </c>
      <c r="E1220" s="3" t="s">
        <v>27</v>
      </c>
      <c r="F1220" s="3" t="n">
        <v>35</v>
      </c>
      <c r="G1220" s="36" t="n">
        <v>0.6</v>
      </c>
      <c r="H1220" s="36" t="n">
        <f aca="false">F1220*G1220</f>
        <v>21</v>
      </c>
      <c r="I1220" s="36" t="n">
        <f aca="false">INDEX(Inventory!$D$2:$D$17,MATCH(C1220,Inventory!$A$2:$A$17,0))</f>
        <v>0.3</v>
      </c>
      <c r="J1220" s="36" t="n">
        <f aca="false">F1220*I1220</f>
        <v>10.5</v>
      </c>
      <c r="K1220" s="36" t="n">
        <f aca="false">H1220-J1220</f>
        <v>10.5</v>
      </c>
    </row>
    <row r="1221" customFormat="false" ht="15" hidden="false" customHeight="false" outlineLevel="0" collapsed="false">
      <c r="A1221" s="41" t="n">
        <v>46280</v>
      </c>
      <c r="B1221" s="42" t="n">
        <f aca="false">DATE(YEAR(A1221),MONTH(A1221),1)</f>
        <v>46266</v>
      </c>
      <c r="C1221" s="3" t="s">
        <v>57</v>
      </c>
      <c r="D1221" s="3" t="s">
        <v>58</v>
      </c>
      <c r="E1221" s="3" t="s">
        <v>27</v>
      </c>
      <c r="F1221" s="3" t="n">
        <v>15</v>
      </c>
      <c r="G1221" s="36" t="n">
        <v>1.5</v>
      </c>
      <c r="H1221" s="36" t="n">
        <f aca="false">F1221*G1221</f>
        <v>22.5</v>
      </c>
      <c r="I1221" s="36" t="n">
        <f aca="false">INDEX(Inventory!$D$2:$D$17,MATCH(C1221,Inventory!$A$2:$A$17,0))</f>
        <v>0.9</v>
      </c>
      <c r="J1221" s="36" t="n">
        <f aca="false">F1221*I1221</f>
        <v>13.5</v>
      </c>
      <c r="K1221" s="36" t="n">
        <f aca="false">H1221-J1221</f>
        <v>9</v>
      </c>
    </row>
    <row r="1222" customFormat="false" ht="15" hidden="false" customHeight="false" outlineLevel="0" collapsed="false">
      <c r="A1222" s="41" t="n">
        <v>46280</v>
      </c>
      <c r="B1222" s="42" t="n">
        <f aca="false">DATE(YEAR(A1222),MONTH(A1222),1)</f>
        <v>46266</v>
      </c>
      <c r="C1222" s="3" t="s">
        <v>41</v>
      </c>
      <c r="D1222" s="3" t="s">
        <v>42</v>
      </c>
      <c r="E1222" s="3" t="s">
        <v>28</v>
      </c>
      <c r="F1222" s="3" t="n">
        <v>15</v>
      </c>
      <c r="G1222" s="36" t="n">
        <v>1.3</v>
      </c>
      <c r="H1222" s="36" t="n">
        <f aca="false">F1222*G1222</f>
        <v>19.5</v>
      </c>
      <c r="I1222" s="36" t="n">
        <f aca="false">INDEX(Inventory!$D$2:$D$17,MATCH(C1222,Inventory!$A$2:$A$17,0))</f>
        <v>0.8</v>
      </c>
      <c r="J1222" s="36" t="n">
        <f aca="false">F1222*I1222</f>
        <v>12</v>
      </c>
      <c r="K1222" s="36" t="n">
        <f aca="false">H1222-J1222</f>
        <v>7.5</v>
      </c>
    </row>
    <row r="1223" customFormat="false" ht="15" hidden="false" customHeight="false" outlineLevel="0" collapsed="false">
      <c r="A1223" s="41" t="n">
        <v>46280</v>
      </c>
      <c r="B1223" s="42" t="n">
        <f aca="false">DATE(YEAR(A1223),MONTH(A1223),1)</f>
        <v>46266</v>
      </c>
      <c r="C1223" s="3" t="s">
        <v>63</v>
      </c>
      <c r="D1223" s="3" t="s">
        <v>64</v>
      </c>
      <c r="E1223" s="3" t="s">
        <v>28</v>
      </c>
      <c r="F1223" s="3" t="n">
        <v>12</v>
      </c>
      <c r="G1223" s="36" t="n">
        <v>0.9</v>
      </c>
      <c r="H1223" s="36" t="n">
        <f aca="false">F1223*G1223</f>
        <v>10.8</v>
      </c>
      <c r="I1223" s="36" t="n">
        <f aca="false">INDEX(Inventory!$D$2:$D$17,MATCH(C1223,Inventory!$A$2:$A$17,0))</f>
        <v>0.5</v>
      </c>
      <c r="J1223" s="36" t="n">
        <f aca="false">F1223*I1223</f>
        <v>6</v>
      </c>
      <c r="K1223" s="36" t="n">
        <f aca="false">H1223-J1223</f>
        <v>4.8</v>
      </c>
    </row>
    <row r="1224" customFormat="false" ht="15" hidden="false" customHeight="false" outlineLevel="0" collapsed="false">
      <c r="A1224" s="41" t="n">
        <v>46280</v>
      </c>
      <c r="B1224" s="42" t="n">
        <f aca="false">DATE(YEAR(A1224),MONTH(A1224),1)</f>
        <v>46266</v>
      </c>
      <c r="C1224" s="3" t="s">
        <v>49</v>
      </c>
      <c r="D1224" s="3" t="s">
        <v>50</v>
      </c>
      <c r="E1224" s="3" t="s">
        <v>28</v>
      </c>
      <c r="F1224" s="3" t="n">
        <v>16</v>
      </c>
      <c r="G1224" s="36" t="n">
        <v>1.2</v>
      </c>
      <c r="H1224" s="36" t="n">
        <f aca="false">F1224*G1224</f>
        <v>19.2</v>
      </c>
      <c r="I1224" s="36" t="n">
        <f aca="false">INDEX(Inventory!$D$2:$D$17,MATCH(C1224,Inventory!$A$2:$A$17,0))</f>
        <v>0.7</v>
      </c>
      <c r="J1224" s="36" t="n">
        <f aca="false">F1224*I1224</f>
        <v>11.2</v>
      </c>
      <c r="K1224" s="36" t="n">
        <f aca="false">H1224-J1224</f>
        <v>8</v>
      </c>
    </row>
    <row r="1225" customFormat="false" ht="15" hidden="false" customHeight="false" outlineLevel="0" collapsed="false">
      <c r="A1225" s="41" t="n">
        <v>46280</v>
      </c>
      <c r="B1225" s="42" t="n">
        <f aca="false">DATE(YEAR(A1225),MONTH(A1225),1)</f>
        <v>46266</v>
      </c>
      <c r="C1225" s="3" t="s">
        <v>51</v>
      </c>
      <c r="D1225" s="3" t="s">
        <v>52</v>
      </c>
      <c r="E1225" s="3" t="s">
        <v>28</v>
      </c>
      <c r="F1225" s="3" t="n">
        <v>21</v>
      </c>
      <c r="G1225" s="36" t="n">
        <v>0.85</v>
      </c>
      <c r="H1225" s="36" t="n">
        <f aca="false">F1225*G1225</f>
        <v>17.85</v>
      </c>
      <c r="I1225" s="36" t="n">
        <f aca="false">INDEX(Inventory!$D$2:$D$17,MATCH(C1225,Inventory!$A$2:$A$17,0))</f>
        <v>0.45</v>
      </c>
      <c r="J1225" s="36" t="n">
        <f aca="false">F1225*I1225</f>
        <v>9.45</v>
      </c>
      <c r="K1225" s="36" t="n">
        <f aca="false">H1225-J1225</f>
        <v>8.4</v>
      </c>
    </row>
    <row r="1226" customFormat="false" ht="15" hidden="false" customHeight="false" outlineLevel="0" collapsed="false">
      <c r="A1226" s="41" t="n">
        <v>46280</v>
      </c>
      <c r="B1226" s="42" t="n">
        <f aca="false">DATE(YEAR(A1226),MONTH(A1226),1)</f>
        <v>46266</v>
      </c>
      <c r="C1226" s="3" t="s">
        <v>37</v>
      </c>
      <c r="D1226" s="3" t="s">
        <v>38</v>
      </c>
      <c r="E1226" s="3" t="s">
        <v>26</v>
      </c>
      <c r="F1226" s="3" t="n">
        <v>27</v>
      </c>
      <c r="G1226" s="36" t="n">
        <v>1.2</v>
      </c>
      <c r="H1226" s="36" t="n">
        <f aca="false">F1226*G1226</f>
        <v>32.4</v>
      </c>
      <c r="I1226" s="36" t="n">
        <f aca="false">INDEX(Inventory!$D$2:$D$17,MATCH(C1226,Inventory!$A$2:$A$17,0))</f>
        <v>0.85</v>
      </c>
      <c r="J1226" s="36" t="n">
        <f aca="false">F1226*I1226</f>
        <v>22.95</v>
      </c>
      <c r="K1226" s="36" t="n">
        <f aca="false">H1226-J1226</f>
        <v>9.45</v>
      </c>
    </row>
    <row r="1227" customFormat="false" ht="15" hidden="false" customHeight="false" outlineLevel="0" collapsed="false">
      <c r="A1227" s="41" t="n">
        <v>46280</v>
      </c>
      <c r="B1227" s="42" t="n">
        <f aca="false">DATE(YEAR(A1227),MONTH(A1227),1)</f>
        <v>46266</v>
      </c>
      <c r="C1227" s="3" t="s">
        <v>47</v>
      </c>
      <c r="D1227" s="3" t="s">
        <v>48</v>
      </c>
      <c r="E1227" s="3" t="s">
        <v>26</v>
      </c>
      <c r="F1227" s="3" t="n">
        <v>8</v>
      </c>
      <c r="G1227" s="36" t="n">
        <v>2.2</v>
      </c>
      <c r="H1227" s="36" t="n">
        <f aca="false">F1227*G1227</f>
        <v>17.6</v>
      </c>
      <c r="I1227" s="36" t="n">
        <f aca="false">INDEX(Inventory!$D$2:$D$17,MATCH(C1227,Inventory!$A$2:$A$17,0))</f>
        <v>1.4</v>
      </c>
      <c r="J1227" s="36" t="n">
        <f aca="false">F1227*I1227</f>
        <v>11.2</v>
      </c>
      <c r="K1227" s="36" t="n">
        <f aca="false">H1227-J1227</f>
        <v>6.4</v>
      </c>
    </row>
    <row r="1228" customFormat="false" ht="15" hidden="false" customHeight="false" outlineLevel="0" collapsed="false">
      <c r="A1228" s="41" t="n">
        <v>46280</v>
      </c>
      <c r="B1228" s="42" t="n">
        <f aca="false">DATE(YEAR(A1228),MONTH(A1228),1)</f>
        <v>46266</v>
      </c>
      <c r="C1228" s="3" t="s">
        <v>43</v>
      </c>
      <c r="D1228" s="3" t="s">
        <v>44</v>
      </c>
      <c r="E1228" s="3" t="s">
        <v>26</v>
      </c>
      <c r="F1228" s="3" t="n">
        <v>8</v>
      </c>
      <c r="G1228" s="36" t="n">
        <v>3.8</v>
      </c>
      <c r="H1228" s="36" t="n">
        <f aca="false">F1228*G1228</f>
        <v>30.4</v>
      </c>
      <c r="I1228" s="36" t="n">
        <f aca="false">INDEX(Inventory!$D$2:$D$17,MATCH(C1228,Inventory!$A$2:$A$17,0))</f>
        <v>2.6</v>
      </c>
      <c r="J1228" s="36" t="n">
        <f aca="false">F1228*I1228</f>
        <v>20.8</v>
      </c>
      <c r="K1228" s="36" t="n">
        <f aca="false">H1228-J1228</f>
        <v>9.6</v>
      </c>
    </row>
    <row r="1229" customFormat="false" ht="15" hidden="false" customHeight="false" outlineLevel="0" collapsed="false">
      <c r="A1229" s="41" t="n">
        <v>46280</v>
      </c>
      <c r="B1229" s="42" t="n">
        <f aca="false">DATE(YEAR(A1229),MONTH(A1229),1)</f>
        <v>46266</v>
      </c>
      <c r="C1229" s="3" t="s">
        <v>67</v>
      </c>
      <c r="D1229" s="3" t="s">
        <v>68</v>
      </c>
      <c r="E1229" s="3" t="s">
        <v>26</v>
      </c>
      <c r="F1229" s="3" t="n">
        <v>4</v>
      </c>
      <c r="G1229" s="36" t="n">
        <v>1.9</v>
      </c>
      <c r="H1229" s="36" t="n">
        <f aca="false">F1229*G1229</f>
        <v>7.6</v>
      </c>
      <c r="I1229" s="36" t="n">
        <f aca="false">INDEX(Inventory!$D$2:$D$17,MATCH(C1229,Inventory!$A$2:$A$17,0))</f>
        <v>1.3</v>
      </c>
      <c r="J1229" s="36" t="n">
        <f aca="false">F1229*I1229</f>
        <v>5.2</v>
      </c>
      <c r="K1229" s="36" t="n">
        <f aca="false">H1229-J1229</f>
        <v>2.4</v>
      </c>
    </row>
    <row r="1230" customFormat="false" ht="15" hidden="false" customHeight="false" outlineLevel="0" collapsed="false">
      <c r="A1230" s="41" t="n">
        <v>46280</v>
      </c>
      <c r="B1230" s="42" t="n">
        <f aca="false">DATE(YEAR(A1230),MONTH(A1230),1)</f>
        <v>46266</v>
      </c>
      <c r="C1230" s="3" t="s">
        <v>61</v>
      </c>
      <c r="D1230" s="3" t="s">
        <v>62</v>
      </c>
      <c r="E1230" s="3" t="s">
        <v>29</v>
      </c>
      <c r="F1230" s="3" t="n">
        <v>5</v>
      </c>
      <c r="G1230" s="36" t="n">
        <v>1.9</v>
      </c>
      <c r="H1230" s="36" t="n">
        <f aca="false">F1230*G1230</f>
        <v>9.5</v>
      </c>
      <c r="I1230" s="36" t="n">
        <f aca="false">INDEX(Inventory!$D$2:$D$17,MATCH(C1230,Inventory!$A$2:$A$17,0))</f>
        <v>1.1</v>
      </c>
      <c r="J1230" s="36" t="n">
        <f aca="false">F1230*I1230</f>
        <v>5.5</v>
      </c>
      <c r="K1230" s="36" t="n">
        <f aca="false">H1230-J1230</f>
        <v>4</v>
      </c>
    </row>
    <row r="1231" customFormat="false" ht="15" hidden="false" customHeight="false" outlineLevel="0" collapsed="false">
      <c r="A1231" s="41" t="n">
        <v>46280</v>
      </c>
      <c r="B1231" s="42" t="n">
        <f aca="false">DATE(YEAR(A1231),MONTH(A1231),1)</f>
        <v>46266</v>
      </c>
      <c r="C1231" s="3" t="s">
        <v>45</v>
      </c>
      <c r="D1231" s="3" t="s">
        <v>46</v>
      </c>
      <c r="E1231" s="3" t="s">
        <v>29</v>
      </c>
      <c r="F1231" s="3" t="n">
        <v>6</v>
      </c>
      <c r="G1231" s="36" t="n">
        <v>5.2</v>
      </c>
      <c r="H1231" s="36" t="n">
        <f aca="false">F1231*G1231</f>
        <v>31.2</v>
      </c>
      <c r="I1231" s="36" t="n">
        <f aca="false">INDEX(Inventory!$D$2:$D$17,MATCH(C1231,Inventory!$A$2:$A$17,0))</f>
        <v>3.5</v>
      </c>
      <c r="J1231" s="36" t="n">
        <f aca="false">F1231*I1231</f>
        <v>21</v>
      </c>
      <c r="K1231" s="36" t="n">
        <f aca="false">H1231-J1231</f>
        <v>10.2</v>
      </c>
    </row>
    <row r="1232" customFormat="false" ht="15" hidden="false" customHeight="false" outlineLevel="0" collapsed="false">
      <c r="A1232" s="41" t="n">
        <v>46280</v>
      </c>
      <c r="B1232" s="42" t="n">
        <f aca="false">DATE(YEAR(A1232),MONTH(A1232),1)</f>
        <v>46266</v>
      </c>
      <c r="C1232" s="3" t="s">
        <v>65</v>
      </c>
      <c r="D1232" s="3" t="s">
        <v>66</v>
      </c>
      <c r="E1232" s="3" t="s">
        <v>29</v>
      </c>
      <c r="F1232" s="3" t="n">
        <v>6</v>
      </c>
      <c r="G1232" s="36" t="n">
        <v>1.5</v>
      </c>
      <c r="H1232" s="36" t="n">
        <f aca="false">F1232*G1232</f>
        <v>9</v>
      </c>
      <c r="I1232" s="36" t="n">
        <f aca="false">INDEX(Inventory!$D$2:$D$17,MATCH(C1232,Inventory!$A$2:$A$17,0))</f>
        <v>0.9</v>
      </c>
      <c r="J1232" s="36" t="n">
        <f aca="false">F1232*I1232</f>
        <v>5.4</v>
      </c>
      <c r="K1232" s="36" t="n">
        <f aca="false">H1232-J1232</f>
        <v>3.6</v>
      </c>
    </row>
    <row r="1233" customFormat="false" ht="15" hidden="false" customHeight="false" outlineLevel="0" collapsed="false">
      <c r="A1233" s="41" t="n">
        <v>46280</v>
      </c>
      <c r="B1233" s="42" t="n">
        <f aca="false">DATE(YEAR(A1233),MONTH(A1233),1)</f>
        <v>46266</v>
      </c>
      <c r="C1233" s="3" t="s">
        <v>55</v>
      </c>
      <c r="D1233" s="3" t="s">
        <v>56</v>
      </c>
      <c r="E1233" s="3" t="s">
        <v>29</v>
      </c>
      <c r="F1233" s="3" t="n">
        <v>7</v>
      </c>
      <c r="G1233" s="36" t="n">
        <v>2.5</v>
      </c>
      <c r="H1233" s="36" t="n">
        <f aca="false">F1233*G1233</f>
        <v>17.5</v>
      </c>
      <c r="I1233" s="36" t="n">
        <f aca="false">INDEX(Inventory!$D$2:$D$17,MATCH(C1233,Inventory!$A$2:$A$17,0))</f>
        <v>1.6</v>
      </c>
      <c r="J1233" s="36" t="n">
        <f aca="false">F1233*I1233</f>
        <v>11.2</v>
      </c>
      <c r="K1233" s="36" t="n">
        <f aca="false">H1233-J1233</f>
        <v>6.3</v>
      </c>
    </row>
    <row r="1234" customFormat="false" ht="15" hidden="false" customHeight="false" outlineLevel="0" collapsed="false">
      <c r="A1234" s="41" t="n">
        <v>46281</v>
      </c>
      <c r="B1234" s="42" t="n">
        <f aca="false">DATE(YEAR(A1234),MONTH(A1234),1)</f>
        <v>46266</v>
      </c>
      <c r="C1234" s="3" t="s">
        <v>39</v>
      </c>
      <c r="D1234" s="3" t="s">
        <v>40</v>
      </c>
      <c r="E1234" s="3" t="s">
        <v>27</v>
      </c>
      <c r="F1234" s="3" t="n">
        <v>19</v>
      </c>
      <c r="G1234" s="36" t="n">
        <v>1</v>
      </c>
      <c r="H1234" s="36" t="n">
        <f aca="false">F1234*G1234</f>
        <v>19</v>
      </c>
      <c r="I1234" s="36" t="n">
        <f aca="false">INDEX(Inventory!$D$2:$D$17,MATCH(C1234,Inventory!$A$2:$A$17,0))</f>
        <v>0.6</v>
      </c>
      <c r="J1234" s="36" t="n">
        <f aca="false">F1234*I1234</f>
        <v>11.4</v>
      </c>
      <c r="K1234" s="36" t="n">
        <f aca="false">H1234-J1234</f>
        <v>7.6</v>
      </c>
    </row>
    <row r="1235" customFormat="false" ht="15" hidden="false" customHeight="false" outlineLevel="0" collapsed="false">
      <c r="A1235" s="41" t="n">
        <v>46281</v>
      </c>
      <c r="B1235" s="42" t="n">
        <f aca="false">DATE(YEAR(A1235),MONTH(A1235),1)</f>
        <v>46266</v>
      </c>
      <c r="C1235" s="3" t="s">
        <v>53</v>
      </c>
      <c r="D1235" s="3" t="s">
        <v>54</v>
      </c>
      <c r="E1235" s="3" t="s">
        <v>27</v>
      </c>
      <c r="F1235" s="3" t="n">
        <v>13</v>
      </c>
      <c r="G1235" s="36" t="n">
        <v>0.95</v>
      </c>
      <c r="H1235" s="36" t="n">
        <f aca="false">F1235*G1235</f>
        <v>12.35</v>
      </c>
      <c r="I1235" s="36" t="n">
        <f aca="false">INDEX(Inventory!$D$2:$D$17,MATCH(C1235,Inventory!$A$2:$A$17,0))</f>
        <v>0.55</v>
      </c>
      <c r="J1235" s="36" t="n">
        <f aca="false">F1235*I1235</f>
        <v>7.15</v>
      </c>
      <c r="K1235" s="36" t="n">
        <f aca="false">H1235-J1235</f>
        <v>5.2</v>
      </c>
    </row>
    <row r="1236" customFormat="false" ht="15" hidden="false" customHeight="false" outlineLevel="0" collapsed="false">
      <c r="A1236" s="41" t="n">
        <v>46281</v>
      </c>
      <c r="B1236" s="42" t="n">
        <f aca="false">DATE(YEAR(A1236),MONTH(A1236),1)</f>
        <v>46266</v>
      </c>
      <c r="C1236" s="3" t="s">
        <v>59</v>
      </c>
      <c r="D1236" s="3" t="s">
        <v>60</v>
      </c>
      <c r="E1236" s="3" t="s">
        <v>27</v>
      </c>
      <c r="F1236" s="3" t="n">
        <v>29</v>
      </c>
      <c r="G1236" s="36" t="n">
        <v>0.6</v>
      </c>
      <c r="H1236" s="36" t="n">
        <f aca="false">F1236*G1236</f>
        <v>17.4</v>
      </c>
      <c r="I1236" s="36" t="n">
        <f aca="false">INDEX(Inventory!$D$2:$D$17,MATCH(C1236,Inventory!$A$2:$A$17,0))</f>
        <v>0.3</v>
      </c>
      <c r="J1236" s="36" t="n">
        <f aca="false">F1236*I1236</f>
        <v>8.7</v>
      </c>
      <c r="K1236" s="36" t="n">
        <f aca="false">H1236-J1236</f>
        <v>8.7</v>
      </c>
    </row>
    <row r="1237" customFormat="false" ht="15" hidden="false" customHeight="false" outlineLevel="0" collapsed="false">
      <c r="A1237" s="41" t="n">
        <v>46281</v>
      </c>
      <c r="B1237" s="42" t="n">
        <f aca="false">DATE(YEAR(A1237),MONTH(A1237),1)</f>
        <v>46266</v>
      </c>
      <c r="C1237" s="3" t="s">
        <v>57</v>
      </c>
      <c r="D1237" s="3" t="s">
        <v>58</v>
      </c>
      <c r="E1237" s="3" t="s">
        <v>27</v>
      </c>
      <c r="F1237" s="3" t="n">
        <v>12</v>
      </c>
      <c r="G1237" s="36" t="n">
        <v>1.5</v>
      </c>
      <c r="H1237" s="36" t="n">
        <f aca="false">F1237*G1237</f>
        <v>18</v>
      </c>
      <c r="I1237" s="36" t="n">
        <f aca="false">INDEX(Inventory!$D$2:$D$17,MATCH(C1237,Inventory!$A$2:$A$17,0))</f>
        <v>0.9</v>
      </c>
      <c r="J1237" s="36" t="n">
        <f aca="false">F1237*I1237</f>
        <v>10.8</v>
      </c>
      <c r="K1237" s="36" t="n">
        <f aca="false">H1237-J1237</f>
        <v>7.2</v>
      </c>
    </row>
    <row r="1238" customFormat="false" ht="15" hidden="false" customHeight="false" outlineLevel="0" collapsed="false">
      <c r="A1238" s="41" t="n">
        <v>46281</v>
      </c>
      <c r="B1238" s="42" t="n">
        <f aca="false">DATE(YEAR(A1238),MONTH(A1238),1)</f>
        <v>46266</v>
      </c>
      <c r="C1238" s="3" t="s">
        <v>41</v>
      </c>
      <c r="D1238" s="3" t="s">
        <v>42</v>
      </c>
      <c r="E1238" s="3" t="s">
        <v>28</v>
      </c>
      <c r="F1238" s="3" t="n">
        <v>27</v>
      </c>
      <c r="G1238" s="36" t="n">
        <v>1.3</v>
      </c>
      <c r="H1238" s="36" t="n">
        <f aca="false">F1238*G1238</f>
        <v>35.1</v>
      </c>
      <c r="I1238" s="36" t="n">
        <f aca="false">INDEX(Inventory!$D$2:$D$17,MATCH(C1238,Inventory!$A$2:$A$17,0))</f>
        <v>0.8</v>
      </c>
      <c r="J1238" s="36" t="n">
        <f aca="false">F1238*I1238</f>
        <v>21.6</v>
      </c>
      <c r="K1238" s="36" t="n">
        <f aca="false">H1238-J1238</f>
        <v>13.5</v>
      </c>
    </row>
    <row r="1239" customFormat="false" ht="15" hidden="false" customHeight="false" outlineLevel="0" collapsed="false">
      <c r="A1239" s="41" t="n">
        <v>46281</v>
      </c>
      <c r="B1239" s="42" t="n">
        <f aca="false">DATE(YEAR(A1239),MONTH(A1239),1)</f>
        <v>46266</v>
      </c>
      <c r="C1239" s="3" t="s">
        <v>63</v>
      </c>
      <c r="D1239" s="3" t="s">
        <v>64</v>
      </c>
      <c r="E1239" s="3" t="s">
        <v>28</v>
      </c>
      <c r="F1239" s="3" t="n">
        <v>17</v>
      </c>
      <c r="G1239" s="36" t="n">
        <v>0.9</v>
      </c>
      <c r="H1239" s="36" t="n">
        <f aca="false">F1239*G1239</f>
        <v>15.3</v>
      </c>
      <c r="I1239" s="36" t="n">
        <f aca="false">INDEX(Inventory!$D$2:$D$17,MATCH(C1239,Inventory!$A$2:$A$17,0))</f>
        <v>0.5</v>
      </c>
      <c r="J1239" s="36" t="n">
        <f aca="false">F1239*I1239</f>
        <v>8.5</v>
      </c>
      <c r="K1239" s="36" t="n">
        <f aca="false">H1239-J1239</f>
        <v>6.8</v>
      </c>
    </row>
    <row r="1240" customFormat="false" ht="15" hidden="false" customHeight="false" outlineLevel="0" collapsed="false">
      <c r="A1240" s="41" t="n">
        <v>46281</v>
      </c>
      <c r="B1240" s="42" t="n">
        <f aca="false">DATE(YEAR(A1240),MONTH(A1240),1)</f>
        <v>46266</v>
      </c>
      <c r="C1240" s="3" t="s">
        <v>49</v>
      </c>
      <c r="D1240" s="3" t="s">
        <v>50</v>
      </c>
      <c r="E1240" s="3" t="s">
        <v>28</v>
      </c>
      <c r="F1240" s="3" t="n">
        <v>16</v>
      </c>
      <c r="G1240" s="36" t="n">
        <v>1.2</v>
      </c>
      <c r="H1240" s="36" t="n">
        <f aca="false">F1240*G1240</f>
        <v>19.2</v>
      </c>
      <c r="I1240" s="36" t="n">
        <f aca="false">INDEX(Inventory!$D$2:$D$17,MATCH(C1240,Inventory!$A$2:$A$17,0))</f>
        <v>0.7</v>
      </c>
      <c r="J1240" s="36" t="n">
        <f aca="false">F1240*I1240</f>
        <v>11.2</v>
      </c>
      <c r="K1240" s="36" t="n">
        <f aca="false">H1240-J1240</f>
        <v>8</v>
      </c>
    </row>
    <row r="1241" customFormat="false" ht="15" hidden="false" customHeight="false" outlineLevel="0" collapsed="false">
      <c r="A1241" s="41" t="n">
        <v>46281</v>
      </c>
      <c r="B1241" s="42" t="n">
        <f aca="false">DATE(YEAR(A1241),MONTH(A1241),1)</f>
        <v>46266</v>
      </c>
      <c r="C1241" s="3" t="s">
        <v>51</v>
      </c>
      <c r="D1241" s="3" t="s">
        <v>52</v>
      </c>
      <c r="E1241" s="3" t="s">
        <v>28</v>
      </c>
      <c r="F1241" s="3" t="n">
        <v>28</v>
      </c>
      <c r="G1241" s="36" t="n">
        <v>0.85</v>
      </c>
      <c r="H1241" s="36" t="n">
        <f aca="false">F1241*G1241</f>
        <v>23.8</v>
      </c>
      <c r="I1241" s="36" t="n">
        <f aca="false">INDEX(Inventory!$D$2:$D$17,MATCH(C1241,Inventory!$A$2:$A$17,0))</f>
        <v>0.45</v>
      </c>
      <c r="J1241" s="36" t="n">
        <f aca="false">F1241*I1241</f>
        <v>12.6</v>
      </c>
      <c r="K1241" s="36" t="n">
        <f aca="false">H1241-J1241</f>
        <v>11.2</v>
      </c>
    </row>
    <row r="1242" customFormat="false" ht="15" hidden="false" customHeight="false" outlineLevel="0" collapsed="false">
      <c r="A1242" s="41" t="n">
        <v>46281</v>
      </c>
      <c r="B1242" s="42" t="n">
        <f aca="false">DATE(YEAR(A1242),MONTH(A1242),1)</f>
        <v>46266</v>
      </c>
      <c r="C1242" s="3" t="s">
        <v>37</v>
      </c>
      <c r="D1242" s="3" t="s">
        <v>38</v>
      </c>
      <c r="E1242" s="3" t="s">
        <v>26</v>
      </c>
      <c r="F1242" s="3" t="n">
        <v>33</v>
      </c>
      <c r="G1242" s="36" t="n">
        <v>1.2</v>
      </c>
      <c r="H1242" s="36" t="n">
        <f aca="false">F1242*G1242</f>
        <v>39.6</v>
      </c>
      <c r="I1242" s="36" t="n">
        <f aca="false">INDEX(Inventory!$D$2:$D$17,MATCH(C1242,Inventory!$A$2:$A$17,0))</f>
        <v>0.85</v>
      </c>
      <c r="J1242" s="36" t="n">
        <f aca="false">F1242*I1242</f>
        <v>28.05</v>
      </c>
      <c r="K1242" s="36" t="n">
        <f aca="false">H1242-J1242</f>
        <v>11.55</v>
      </c>
    </row>
    <row r="1243" customFormat="false" ht="15" hidden="false" customHeight="false" outlineLevel="0" collapsed="false">
      <c r="A1243" s="41" t="n">
        <v>46281</v>
      </c>
      <c r="B1243" s="42" t="n">
        <f aca="false">DATE(YEAR(A1243),MONTH(A1243),1)</f>
        <v>46266</v>
      </c>
      <c r="C1243" s="3" t="s">
        <v>47</v>
      </c>
      <c r="D1243" s="3" t="s">
        <v>48</v>
      </c>
      <c r="E1243" s="3" t="s">
        <v>26</v>
      </c>
      <c r="F1243" s="3" t="n">
        <v>12</v>
      </c>
      <c r="G1243" s="36" t="n">
        <v>2.2</v>
      </c>
      <c r="H1243" s="36" t="n">
        <f aca="false">F1243*G1243</f>
        <v>26.4</v>
      </c>
      <c r="I1243" s="36" t="n">
        <f aca="false">INDEX(Inventory!$D$2:$D$17,MATCH(C1243,Inventory!$A$2:$A$17,0))</f>
        <v>1.4</v>
      </c>
      <c r="J1243" s="36" t="n">
        <f aca="false">F1243*I1243</f>
        <v>16.8</v>
      </c>
      <c r="K1243" s="36" t="n">
        <f aca="false">H1243-J1243</f>
        <v>9.60000000000001</v>
      </c>
    </row>
    <row r="1244" customFormat="false" ht="15" hidden="false" customHeight="false" outlineLevel="0" collapsed="false">
      <c r="A1244" s="41" t="n">
        <v>46281</v>
      </c>
      <c r="B1244" s="42" t="n">
        <f aca="false">DATE(YEAR(A1244),MONTH(A1244),1)</f>
        <v>46266</v>
      </c>
      <c r="C1244" s="3" t="s">
        <v>43</v>
      </c>
      <c r="D1244" s="3" t="s">
        <v>44</v>
      </c>
      <c r="E1244" s="3" t="s">
        <v>26</v>
      </c>
      <c r="F1244" s="3" t="n">
        <v>7</v>
      </c>
      <c r="G1244" s="36" t="n">
        <v>3.8</v>
      </c>
      <c r="H1244" s="36" t="n">
        <f aca="false">F1244*G1244</f>
        <v>26.6</v>
      </c>
      <c r="I1244" s="36" t="n">
        <f aca="false">INDEX(Inventory!$D$2:$D$17,MATCH(C1244,Inventory!$A$2:$A$17,0))</f>
        <v>2.6</v>
      </c>
      <c r="J1244" s="36" t="n">
        <f aca="false">F1244*I1244</f>
        <v>18.2</v>
      </c>
      <c r="K1244" s="36" t="n">
        <f aca="false">H1244-J1244</f>
        <v>8.4</v>
      </c>
    </row>
    <row r="1245" customFormat="false" ht="15" hidden="false" customHeight="false" outlineLevel="0" collapsed="false">
      <c r="A1245" s="41" t="n">
        <v>46281</v>
      </c>
      <c r="B1245" s="42" t="n">
        <f aca="false">DATE(YEAR(A1245),MONTH(A1245),1)</f>
        <v>46266</v>
      </c>
      <c r="C1245" s="3" t="s">
        <v>67</v>
      </c>
      <c r="D1245" s="3" t="s">
        <v>68</v>
      </c>
      <c r="E1245" s="3" t="s">
        <v>26</v>
      </c>
      <c r="F1245" s="3" t="n">
        <v>8</v>
      </c>
      <c r="G1245" s="36" t="n">
        <v>1.9</v>
      </c>
      <c r="H1245" s="36" t="n">
        <f aca="false">F1245*G1245</f>
        <v>15.2</v>
      </c>
      <c r="I1245" s="36" t="n">
        <f aca="false">INDEX(Inventory!$D$2:$D$17,MATCH(C1245,Inventory!$A$2:$A$17,0))</f>
        <v>1.3</v>
      </c>
      <c r="J1245" s="36" t="n">
        <f aca="false">F1245*I1245</f>
        <v>10.4</v>
      </c>
      <c r="K1245" s="36" t="n">
        <f aca="false">H1245-J1245</f>
        <v>4.8</v>
      </c>
    </row>
    <row r="1246" customFormat="false" ht="15" hidden="false" customHeight="false" outlineLevel="0" collapsed="false">
      <c r="A1246" s="41" t="n">
        <v>46281</v>
      </c>
      <c r="B1246" s="42" t="n">
        <f aca="false">DATE(YEAR(A1246),MONTH(A1246),1)</f>
        <v>46266</v>
      </c>
      <c r="C1246" s="3" t="s">
        <v>61</v>
      </c>
      <c r="D1246" s="3" t="s">
        <v>62</v>
      </c>
      <c r="E1246" s="3" t="s">
        <v>29</v>
      </c>
      <c r="F1246" s="3" t="n">
        <v>14</v>
      </c>
      <c r="G1246" s="36" t="n">
        <v>1.9</v>
      </c>
      <c r="H1246" s="36" t="n">
        <f aca="false">F1246*G1246</f>
        <v>26.6</v>
      </c>
      <c r="I1246" s="36" t="n">
        <f aca="false">INDEX(Inventory!$D$2:$D$17,MATCH(C1246,Inventory!$A$2:$A$17,0))</f>
        <v>1.1</v>
      </c>
      <c r="J1246" s="36" t="n">
        <f aca="false">F1246*I1246</f>
        <v>15.4</v>
      </c>
      <c r="K1246" s="36" t="n">
        <f aca="false">H1246-J1246</f>
        <v>11.2</v>
      </c>
    </row>
    <row r="1247" customFormat="false" ht="15" hidden="false" customHeight="false" outlineLevel="0" collapsed="false">
      <c r="A1247" s="41" t="n">
        <v>46281</v>
      </c>
      <c r="B1247" s="42" t="n">
        <f aca="false">DATE(YEAR(A1247),MONTH(A1247),1)</f>
        <v>46266</v>
      </c>
      <c r="C1247" s="3" t="s">
        <v>45</v>
      </c>
      <c r="D1247" s="3" t="s">
        <v>46</v>
      </c>
      <c r="E1247" s="3" t="s">
        <v>29</v>
      </c>
      <c r="F1247" s="3" t="n">
        <v>6</v>
      </c>
      <c r="G1247" s="36" t="n">
        <v>5.2</v>
      </c>
      <c r="H1247" s="36" t="n">
        <f aca="false">F1247*G1247</f>
        <v>31.2</v>
      </c>
      <c r="I1247" s="36" t="n">
        <f aca="false">INDEX(Inventory!$D$2:$D$17,MATCH(C1247,Inventory!$A$2:$A$17,0))</f>
        <v>3.5</v>
      </c>
      <c r="J1247" s="36" t="n">
        <f aca="false">F1247*I1247</f>
        <v>21</v>
      </c>
      <c r="K1247" s="36" t="n">
        <f aca="false">H1247-J1247</f>
        <v>10.2</v>
      </c>
    </row>
    <row r="1248" customFormat="false" ht="15" hidden="false" customHeight="false" outlineLevel="0" collapsed="false">
      <c r="A1248" s="41" t="n">
        <v>46281</v>
      </c>
      <c r="B1248" s="42" t="n">
        <f aca="false">DATE(YEAR(A1248),MONTH(A1248),1)</f>
        <v>46266</v>
      </c>
      <c r="C1248" s="3" t="s">
        <v>65</v>
      </c>
      <c r="D1248" s="3" t="s">
        <v>66</v>
      </c>
      <c r="E1248" s="3" t="s">
        <v>29</v>
      </c>
      <c r="F1248" s="3" t="n">
        <v>12</v>
      </c>
      <c r="G1248" s="36" t="n">
        <v>1.5</v>
      </c>
      <c r="H1248" s="36" t="n">
        <f aca="false">F1248*G1248</f>
        <v>18</v>
      </c>
      <c r="I1248" s="36" t="n">
        <f aca="false">INDEX(Inventory!$D$2:$D$17,MATCH(C1248,Inventory!$A$2:$A$17,0))</f>
        <v>0.9</v>
      </c>
      <c r="J1248" s="36" t="n">
        <f aca="false">F1248*I1248</f>
        <v>10.8</v>
      </c>
      <c r="K1248" s="36" t="n">
        <f aca="false">H1248-J1248</f>
        <v>7.2</v>
      </c>
    </row>
    <row r="1249" customFormat="false" ht="15" hidden="false" customHeight="false" outlineLevel="0" collapsed="false">
      <c r="A1249" s="41" t="n">
        <v>46281</v>
      </c>
      <c r="B1249" s="42" t="n">
        <f aca="false">DATE(YEAR(A1249),MONTH(A1249),1)</f>
        <v>46266</v>
      </c>
      <c r="C1249" s="3" t="s">
        <v>55</v>
      </c>
      <c r="D1249" s="3" t="s">
        <v>56</v>
      </c>
      <c r="E1249" s="3" t="s">
        <v>29</v>
      </c>
      <c r="F1249" s="3" t="n">
        <v>9</v>
      </c>
      <c r="G1249" s="36" t="n">
        <v>2.5</v>
      </c>
      <c r="H1249" s="36" t="n">
        <f aca="false">F1249*G1249</f>
        <v>22.5</v>
      </c>
      <c r="I1249" s="36" t="n">
        <f aca="false">INDEX(Inventory!$D$2:$D$17,MATCH(C1249,Inventory!$A$2:$A$17,0))</f>
        <v>1.6</v>
      </c>
      <c r="J1249" s="36" t="n">
        <f aca="false">F1249*I1249</f>
        <v>14.4</v>
      </c>
      <c r="K1249" s="36" t="n">
        <f aca="false">H1249-J1249</f>
        <v>8.1</v>
      </c>
    </row>
    <row r="1250" customFormat="false" ht="15" hidden="false" customHeight="false" outlineLevel="0" collapsed="false">
      <c r="A1250" s="41" t="n">
        <v>46282</v>
      </c>
      <c r="B1250" s="42" t="n">
        <f aca="false">DATE(YEAR(A1250),MONTH(A1250),1)</f>
        <v>46266</v>
      </c>
      <c r="C1250" s="3" t="s">
        <v>39</v>
      </c>
      <c r="D1250" s="3" t="s">
        <v>40</v>
      </c>
      <c r="E1250" s="3" t="s">
        <v>27</v>
      </c>
      <c r="F1250" s="3" t="n">
        <v>34</v>
      </c>
      <c r="G1250" s="36" t="n">
        <v>1</v>
      </c>
      <c r="H1250" s="36" t="n">
        <f aca="false">F1250*G1250</f>
        <v>34</v>
      </c>
      <c r="I1250" s="36" t="n">
        <f aca="false">INDEX(Inventory!$D$2:$D$17,MATCH(C1250,Inventory!$A$2:$A$17,0))</f>
        <v>0.6</v>
      </c>
      <c r="J1250" s="36" t="n">
        <f aca="false">F1250*I1250</f>
        <v>20.4</v>
      </c>
      <c r="K1250" s="36" t="n">
        <f aca="false">H1250-J1250</f>
        <v>13.6</v>
      </c>
    </row>
    <row r="1251" customFormat="false" ht="15" hidden="false" customHeight="false" outlineLevel="0" collapsed="false">
      <c r="A1251" s="41" t="n">
        <v>46282</v>
      </c>
      <c r="B1251" s="42" t="n">
        <f aca="false">DATE(YEAR(A1251),MONTH(A1251),1)</f>
        <v>46266</v>
      </c>
      <c r="C1251" s="3" t="s">
        <v>53</v>
      </c>
      <c r="D1251" s="3" t="s">
        <v>54</v>
      </c>
      <c r="E1251" s="3" t="s">
        <v>27</v>
      </c>
      <c r="F1251" s="3" t="n">
        <v>15</v>
      </c>
      <c r="G1251" s="36" t="n">
        <v>0.95</v>
      </c>
      <c r="H1251" s="36" t="n">
        <f aca="false">F1251*G1251</f>
        <v>14.25</v>
      </c>
      <c r="I1251" s="36" t="n">
        <f aca="false">INDEX(Inventory!$D$2:$D$17,MATCH(C1251,Inventory!$A$2:$A$17,0))</f>
        <v>0.55</v>
      </c>
      <c r="J1251" s="36" t="n">
        <f aca="false">F1251*I1251</f>
        <v>8.25</v>
      </c>
      <c r="K1251" s="36" t="n">
        <f aca="false">H1251-J1251</f>
        <v>6</v>
      </c>
    </row>
    <row r="1252" customFormat="false" ht="15" hidden="false" customHeight="false" outlineLevel="0" collapsed="false">
      <c r="A1252" s="41" t="n">
        <v>46282</v>
      </c>
      <c r="B1252" s="42" t="n">
        <f aca="false">DATE(YEAR(A1252),MONTH(A1252),1)</f>
        <v>46266</v>
      </c>
      <c r="C1252" s="3" t="s">
        <v>59</v>
      </c>
      <c r="D1252" s="3" t="s">
        <v>60</v>
      </c>
      <c r="E1252" s="3" t="s">
        <v>27</v>
      </c>
      <c r="F1252" s="3" t="n">
        <v>24</v>
      </c>
      <c r="G1252" s="36" t="n">
        <v>0.6</v>
      </c>
      <c r="H1252" s="36" t="n">
        <f aca="false">F1252*G1252</f>
        <v>14.4</v>
      </c>
      <c r="I1252" s="36" t="n">
        <f aca="false">INDEX(Inventory!$D$2:$D$17,MATCH(C1252,Inventory!$A$2:$A$17,0))</f>
        <v>0.3</v>
      </c>
      <c r="J1252" s="36" t="n">
        <f aca="false">F1252*I1252</f>
        <v>7.2</v>
      </c>
      <c r="K1252" s="36" t="n">
        <f aca="false">H1252-J1252</f>
        <v>7.2</v>
      </c>
    </row>
    <row r="1253" customFormat="false" ht="15" hidden="false" customHeight="false" outlineLevel="0" collapsed="false">
      <c r="A1253" s="41" t="n">
        <v>46282</v>
      </c>
      <c r="B1253" s="42" t="n">
        <f aca="false">DATE(YEAR(A1253),MONTH(A1253),1)</f>
        <v>46266</v>
      </c>
      <c r="C1253" s="3" t="s">
        <v>57</v>
      </c>
      <c r="D1253" s="3" t="s">
        <v>58</v>
      </c>
      <c r="E1253" s="3" t="s">
        <v>27</v>
      </c>
      <c r="F1253" s="3" t="n">
        <v>13</v>
      </c>
      <c r="G1253" s="36" t="n">
        <v>1.5</v>
      </c>
      <c r="H1253" s="36" t="n">
        <f aca="false">F1253*G1253</f>
        <v>19.5</v>
      </c>
      <c r="I1253" s="36" t="n">
        <f aca="false">INDEX(Inventory!$D$2:$D$17,MATCH(C1253,Inventory!$A$2:$A$17,0))</f>
        <v>0.9</v>
      </c>
      <c r="J1253" s="36" t="n">
        <f aca="false">F1253*I1253</f>
        <v>11.7</v>
      </c>
      <c r="K1253" s="36" t="n">
        <f aca="false">H1253-J1253</f>
        <v>7.8</v>
      </c>
    </row>
    <row r="1254" customFormat="false" ht="15" hidden="false" customHeight="false" outlineLevel="0" collapsed="false">
      <c r="A1254" s="41" t="n">
        <v>46282</v>
      </c>
      <c r="B1254" s="42" t="n">
        <f aca="false">DATE(YEAR(A1254),MONTH(A1254),1)</f>
        <v>46266</v>
      </c>
      <c r="C1254" s="3" t="s">
        <v>41</v>
      </c>
      <c r="D1254" s="3" t="s">
        <v>42</v>
      </c>
      <c r="E1254" s="3" t="s">
        <v>28</v>
      </c>
      <c r="F1254" s="3" t="n">
        <v>13</v>
      </c>
      <c r="G1254" s="36" t="n">
        <v>1.3</v>
      </c>
      <c r="H1254" s="36" t="n">
        <f aca="false">F1254*G1254</f>
        <v>16.9</v>
      </c>
      <c r="I1254" s="36" t="n">
        <f aca="false">INDEX(Inventory!$D$2:$D$17,MATCH(C1254,Inventory!$A$2:$A$17,0))</f>
        <v>0.8</v>
      </c>
      <c r="J1254" s="36" t="n">
        <f aca="false">F1254*I1254</f>
        <v>10.4</v>
      </c>
      <c r="K1254" s="36" t="n">
        <f aca="false">H1254-J1254</f>
        <v>6.5</v>
      </c>
    </row>
    <row r="1255" customFormat="false" ht="15" hidden="false" customHeight="false" outlineLevel="0" collapsed="false">
      <c r="A1255" s="41" t="n">
        <v>46282</v>
      </c>
      <c r="B1255" s="42" t="n">
        <f aca="false">DATE(YEAR(A1255),MONTH(A1255),1)</f>
        <v>46266</v>
      </c>
      <c r="C1255" s="3" t="s">
        <v>63</v>
      </c>
      <c r="D1255" s="3" t="s">
        <v>64</v>
      </c>
      <c r="E1255" s="3" t="s">
        <v>28</v>
      </c>
      <c r="F1255" s="3" t="n">
        <v>13</v>
      </c>
      <c r="G1255" s="36" t="n">
        <v>0.9</v>
      </c>
      <c r="H1255" s="36" t="n">
        <f aca="false">F1255*G1255</f>
        <v>11.7</v>
      </c>
      <c r="I1255" s="36" t="n">
        <f aca="false">INDEX(Inventory!$D$2:$D$17,MATCH(C1255,Inventory!$A$2:$A$17,0))</f>
        <v>0.5</v>
      </c>
      <c r="J1255" s="36" t="n">
        <f aca="false">F1255*I1255</f>
        <v>6.5</v>
      </c>
      <c r="K1255" s="36" t="n">
        <f aca="false">H1255-J1255</f>
        <v>5.2</v>
      </c>
    </row>
    <row r="1256" customFormat="false" ht="15" hidden="false" customHeight="false" outlineLevel="0" collapsed="false">
      <c r="A1256" s="41" t="n">
        <v>46282</v>
      </c>
      <c r="B1256" s="42" t="n">
        <f aca="false">DATE(YEAR(A1256),MONTH(A1256),1)</f>
        <v>46266</v>
      </c>
      <c r="C1256" s="3" t="s">
        <v>49</v>
      </c>
      <c r="D1256" s="3" t="s">
        <v>50</v>
      </c>
      <c r="E1256" s="3" t="s">
        <v>28</v>
      </c>
      <c r="F1256" s="3" t="n">
        <v>21</v>
      </c>
      <c r="G1256" s="36" t="n">
        <v>1.2</v>
      </c>
      <c r="H1256" s="36" t="n">
        <f aca="false">F1256*G1256</f>
        <v>25.2</v>
      </c>
      <c r="I1256" s="36" t="n">
        <f aca="false">INDEX(Inventory!$D$2:$D$17,MATCH(C1256,Inventory!$A$2:$A$17,0))</f>
        <v>0.7</v>
      </c>
      <c r="J1256" s="36" t="n">
        <f aca="false">F1256*I1256</f>
        <v>14.7</v>
      </c>
      <c r="K1256" s="36" t="n">
        <f aca="false">H1256-J1256</f>
        <v>10.5</v>
      </c>
    </row>
    <row r="1257" customFormat="false" ht="15" hidden="false" customHeight="false" outlineLevel="0" collapsed="false">
      <c r="A1257" s="41" t="n">
        <v>46282</v>
      </c>
      <c r="B1257" s="42" t="n">
        <f aca="false">DATE(YEAR(A1257),MONTH(A1257),1)</f>
        <v>46266</v>
      </c>
      <c r="C1257" s="3" t="s">
        <v>51</v>
      </c>
      <c r="D1257" s="3" t="s">
        <v>52</v>
      </c>
      <c r="E1257" s="3" t="s">
        <v>28</v>
      </c>
      <c r="F1257" s="3" t="n">
        <v>20</v>
      </c>
      <c r="G1257" s="36" t="n">
        <v>0.85</v>
      </c>
      <c r="H1257" s="36" t="n">
        <f aca="false">F1257*G1257</f>
        <v>17</v>
      </c>
      <c r="I1257" s="36" t="n">
        <f aca="false">INDEX(Inventory!$D$2:$D$17,MATCH(C1257,Inventory!$A$2:$A$17,0))</f>
        <v>0.45</v>
      </c>
      <c r="J1257" s="36" t="n">
        <f aca="false">F1257*I1257</f>
        <v>9</v>
      </c>
      <c r="K1257" s="36" t="n">
        <f aca="false">H1257-J1257</f>
        <v>8</v>
      </c>
    </row>
    <row r="1258" customFormat="false" ht="15" hidden="false" customHeight="false" outlineLevel="0" collapsed="false">
      <c r="A1258" s="41" t="n">
        <v>46282</v>
      </c>
      <c r="B1258" s="42" t="n">
        <f aca="false">DATE(YEAR(A1258),MONTH(A1258),1)</f>
        <v>46266</v>
      </c>
      <c r="C1258" s="3" t="s">
        <v>37</v>
      </c>
      <c r="D1258" s="3" t="s">
        <v>38</v>
      </c>
      <c r="E1258" s="3" t="s">
        <v>26</v>
      </c>
      <c r="F1258" s="3" t="n">
        <v>29</v>
      </c>
      <c r="G1258" s="36" t="n">
        <v>1.2</v>
      </c>
      <c r="H1258" s="36" t="n">
        <f aca="false">F1258*G1258</f>
        <v>34.8</v>
      </c>
      <c r="I1258" s="36" t="n">
        <f aca="false">INDEX(Inventory!$D$2:$D$17,MATCH(C1258,Inventory!$A$2:$A$17,0))</f>
        <v>0.85</v>
      </c>
      <c r="J1258" s="36" t="n">
        <f aca="false">F1258*I1258</f>
        <v>24.65</v>
      </c>
      <c r="K1258" s="36" t="n">
        <f aca="false">H1258-J1258</f>
        <v>10.15</v>
      </c>
    </row>
    <row r="1259" customFormat="false" ht="15" hidden="false" customHeight="false" outlineLevel="0" collapsed="false">
      <c r="A1259" s="41" t="n">
        <v>46282</v>
      </c>
      <c r="B1259" s="42" t="n">
        <f aca="false">DATE(YEAR(A1259),MONTH(A1259),1)</f>
        <v>46266</v>
      </c>
      <c r="C1259" s="3" t="s">
        <v>47</v>
      </c>
      <c r="D1259" s="3" t="s">
        <v>48</v>
      </c>
      <c r="E1259" s="3" t="s">
        <v>26</v>
      </c>
      <c r="F1259" s="3" t="n">
        <v>7</v>
      </c>
      <c r="G1259" s="36" t="n">
        <v>2.2</v>
      </c>
      <c r="H1259" s="36" t="n">
        <f aca="false">F1259*G1259</f>
        <v>15.4</v>
      </c>
      <c r="I1259" s="36" t="n">
        <f aca="false">INDEX(Inventory!$D$2:$D$17,MATCH(C1259,Inventory!$A$2:$A$17,0))</f>
        <v>1.4</v>
      </c>
      <c r="J1259" s="36" t="n">
        <f aca="false">F1259*I1259</f>
        <v>9.8</v>
      </c>
      <c r="K1259" s="36" t="n">
        <f aca="false">H1259-J1259</f>
        <v>5.6</v>
      </c>
    </row>
    <row r="1260" customFormat="false" ht="15" hidden="false" customHeight="false" outlineLevel="0" collapsed="false">
      <c r="A1260" s="41" t="n">
        <v>46282</v>
      </c>
      <c r="B1260" s="42" t="n">
        <f aca="false">DATE(YEAR(A1260),MONTH(A1260),1)</f>
        <v>46266</v>
      </c>
      <c r="C1260" s="3" t="s">
        <v>43</v>
      </c>
      <c r="D1260" s="3" t="s">
        <v>44</v>
      </c>
      <c r="E1260" s="3" t="s">
        <v>26</v>
      </c>
      <c r="F1260" s="3" t="n">
        <v>7</v>
      </c>
      <c r="G1260" s="36" t="n">
        <v>3.8</v>
      </c>
      <c r="H1260" s="36" t="n">
        <f aca="false">F1260*G1260</f>
        <v>26.6</v>
      </c>
      <c r="I1260" s="36" t="n">
        <f aca="false">INDEX(Inventory!$D$2:$D$17,MATCH(C1260,Inventory!$A$2:$A$17,0))</f>
        <v>2.6</v>
      </c>
      <c r="J1260" s="36" t="n">
        <f aca="false">F1260*I1260</f>
        <v>18.2</v>
      </c>
      <c r="K1260" s="36" t="n">
        <f aca="false">H1260-J1260</f>
        <v>8.4</v>
      </c>
    </row>
    <row r="1261" customFormat="false" ht="15" hidden="false" customHeight="false" outlineLevel="0" collapsed="false">
      <c r="A1261" s="41" t="n">
        <v>46282</v>
      </c>
      <c r="B1261" s="42" t="n">
        <f aca="false">DATE(YEAR(A1261),MONTH(A1261),1)</f>
        <v>46266</v>
      </c>
      <c r="C1261" s="3" t="s">
        <v>67</v>
      </c>
      <c r="D1261" s="3" t="s">
        <v>68</v>
      </c>
      <c r="E1261" s="3" t="s">
        <v>26</v>
      </c>
      <c r="F1261" s="3" t="n">
        <v>8</v>
      </c>
      <c r="G1261" s="36" t="n">
        <v>1.9</v>
      </c>
      <c r="H1261" s="36" t="n">
        <f aca="false">F1261*G1261</f>
        <v>15.2</v>
      </c>
      <c r="I1261" s="36" t="n">
        <f aca="false">INDEX(Inventory!$D$2:$D$17,MATCH(C1261,Inventory!$A$2:$A$17,0))</f>
        <v>1.3</v>
      </c>
      <c r="J1261" s="36" t="n">
        <f aca="false">F1261*I1261</f>
        <v>10.4</v>
      </c>
      <c r="K1261" s="36" t="n">
        <f aca="false">H1261-J1261</f>
        <v>4.8</v>
      </c>
    </row>
    <row r="1262" customFormat="false" ht="15" hidden="false" customHeight="false" outlineLevel="0" collapsed="false">
      <c r="A1262" s="41" t="n">
        <v>46282</v>
      </c>
      <c r="B1262" s="42" t="n">
        <f aca="false">DATE(YEAR(A1262),MONTH(A1262),1)</f>
        <v>46266</v>
      </c>
      <c r="C1262" s="3" t="s">
        <v>61</v>
      </c>
      <c r="D1262" s="3" t="s">
        <v>62</v>
      </c>
      <c r="E1262" s="3" t="s">
        <v>29</v>
      </c>
      <c r="F1262" s="3" t="n">
        <v>10</v>
      </c>
      <c r="G1262" s="36" t="n">
        <v>1.9</v>
      </c>
      <c r="H1262" s="36" t="n">
        <f aca="false">F1262*G1262</f>
        <v>19</v>
      </c>
      <c r="I1262" s="36" t="n">
        <f aca="false">INDEX(Inventory!$D$2:$D$17,MATCH(C1262,Inventory!$A$2:$A$17,0))</f>
        <v>1.1</v>
      </c>
      <c r="J1262" s="36" t="n">
        <f aca="false">F1262*I1262</f>
        <v>11</v>
      </c>
      <c r="K1262" s="36" t="n">
        <f aca="false">H1262-J1262</f>
        <v>8</v>
      </c>
    </row>
    <row r="1263" customFormat="false" ht="15" hidden="false" customHeight="false" outlineLevel="0" collapsed="false">
      <c r="A1263" s="41" t="n">
        <v>46282</v>
      </c>
      <c r="B1263" s="42" t="n">
        <f aca="false">DATE(YEAR(A1263),MONTH(A1263),1)</f>
        <v>46266</v>
      </c>
      <c r="C1263" s="3" t="s">
        <v>45</v>
      </c>
      <c r="D1263" s="3" t="s">
        <v>46</v>
      </c>
      <c r="E1263" s="3" t="s">
        <v>29</v>
      </c>
      <c r="F1263" s="3" t="n">
        <v>6</v>
      </c>
      <c r="G1263" s="36" t="n">
        <v>5.2</v>
      </c>
      <c r="H1263" s="36" t="n">
        <f aca="false">F1263*G1263</f>
        <v>31.2</v>
      </c>
      <c r="I1263" s="36" t="n">
        <f aca="false">INDEX(Inventory!$D$2:$D$17,MATCH(C1263,Inventory!$A$2:$A$17,0))</f>
        <v>3.5</v>
      </c>
      <c r="J1263" s="36" t="n">
        <f aca="false">F1263*I1263</f>
        <v>21</v>
      </c>
      <c r="K1263" s="36" t="n">
        <f aca="false">H1263-J1263</f>
        <v>10.2</v>
      </c>
    </row>
    <row r="1264" customFormat="false" ht="15" hidden="false" customHeight="false" outlineLevel="0" collapsed="false">
      <c r="A1264" s="41" t="n">
        <v>46282</v>
      </c>
      <c r="B1264" s="42" t="n">
        <f aca="false">DATE(YEAR(A1264),MONTH(A1264),1)</f>
        <v>46266</v>
      </c>
      <c r="C1264" s="3" t="s">
        <v>65</v>
      </c>
      <c r="D1264" s="3" t="s">
        <v>66</v>
      </c>
      <c r="E1264" s="3" t="s">
        <v>29</v>
      </c>
      <c r="F1264" s="3" t="n">
        <v>12</v>
      </c>
      <c r="G1264" s="36" t="n">
        <v>1.5</v>
      </c>
      <c r="H1264" s="36" t="n">
        <f aca="false">F1264*G1264</f>
        <v>18</v>
      </c>
      <c r="I1264" s="36" t="n">
        <f aca="false">INDEX(Inventory!$D$2:$D$17,MATCH(C1264,Inventory!$A$2:$A$17,0))</f>
        <v>0.9</v>
      </c>
      <c r="J1264" s="36" t="n">
        <f aca="false">F1264*I1264</f>
        <v>10.8</v>
      </c>
      <c r="K1264" s="36" t="n">
        <f aca="false">H1264-J1264</f>
        <v>7.2</v>
      </c>
    </row>
    <row r="1265" customFormat="false" ht="15" hidden="false" customHeight="false" outlineLevel="0" collapsed="false">
      <c r="A1265" s="41" t="n">
        <v>46282</v>
      </c>
      <c r="B1265" s="42" t="n">
        <f aca="false">DATE(YEAR(A1265),MONTH(A1265),1)</f>
        <v>46266</v>
      </c>
      <c r="C1265" s="3" t="s">
        <v>55</v>
      </c>
      <c r="D1265" s="3" t="s">
        <v>56</v>
      </c>
      <c r="E1265" s="3" t="s">
        <v>29</v>
      </c>
      <c r="F1265" s="3" t="n">
        <v>10</v>
      </c>
      <c r="G1265" s="36" t="n">
        <v>2.5</v>
      </c>
      <c r="H1265" s="36" t="n">
        <f aca="false">F1265*G1265</f>
        <v>25</v>
      </c>
      <c r="I1265" s="36" t="n">
        <f aca="false">INDEX(Inventory!$D$2:$D$17,MATCH(C1265,Inventory!$A$2:$A$17,0))</f>
        <v>1.6</v>
      </c>
      <c r="J1265" s="36" t="n">
        <f aca="false">F1265*I1265</f>
        <v>16</v>
      </c>
      <c r="K1265" s="36" t="n">
        <f aca="false">H1265-J1265</f>
        <v>9</v>
      </c>
    </row>
    <row r="1266" customFormat="false" ht="15" hidden="false" customHeight="false" outlineLevel="0" collapsed="false">
      <c r="A1266" s="41" t="n">
        <v>46283</v>
      </c>
      <c r="B1266" s="42" t="n">
        <f aca="false">DATE(YEAR(A1266),MONTH(A1266),1)</f>
        <v>46266</v>
      </c>
      <c r="C1266" s="3" t="s">
        <v>39</v>
      </c>
      <c r="D1266" s="3" t="s">
        <v>40</v>
      </c>
      <c r="E1266" s="3" t="s">
        <v>27</v>
      </c>
      <c r="F1266" s="3" t="n">
        <v>27</v>
      </c>
      <c r="G1266" s="36" t="n">
        <v>1</v>
      </c>
      <c r="H1266" s="36" t="n">
        <f aca="false">F1266*G1266</f>
        <v>27</v>
      </c>
      <c r="I1266" s="36" t="n">
        <f aca="false">INDEX(Inventory!$D$2:$D$17,MATCH(C1266,Inventory!$A$2:$A$17,0))</f>
        <v>0.6</v>
      </c>
      <c r="J1266" s="36" t="n">
        <f aca="false">F1266*I1266</f>
        <v>16.2</v>
      </c>
      <c r="K1266" s="36" t="n">
        <f aca="false">H1266-J1266</f>
        <v>10.8</v>
      </c>
    </row>
    <row r="1267" customFormat="false" ht="15" hidden="false" customHeight="false" outlineLevel="0" collapsed="false">
      <c r="A1267" s="41" t="n">
        <v>46283</v>
      </c>
      <c r="B1267" s="42" t="n">
        <f aca="false">DATE(YEAR(A1267),MONTH(A1267),1)</f>
        <v>46266</v>
      </c>
      <c r="C1267" s="3" t="s">
        <v>53</v>
      </c>
      <c r="D1267" s="3" t="s">
        <v>54</v>
      </c>
      <c r="E1267" s="3" t="s">
        <v>27</v>
      </c>
      <c r="F1267" s="3" t="n">
        <v>28</v>
      </c>
      <c r="G1267" s="36" t="n">
        <v>0.95</v>
      </c>
      <c r="H1267" s="36" t="n">
        <f aca="false">F1267*G1267</f>
        <v>26.6</v>
      </c>
      <c r="I1267" s="36" t="n">
        <f aca="false">INDEX(Inventory!$D$2:$D$17,MATCH(C1267,Inventory!$A$2:$A$17,0))</f>
        <v>0.55</v>
      </c>
      <c r="J1267" s="36" t="n">
        <f aca="false">F1267*I1267</f>
        <v>15.4</v>
      </c>
      <c r="K1267" s="36" t="n">
        <f aca="false">H1267-J1267</f>
        <v>11.2</v>
      </c>
    </row>
    <row r="1268" customFormat="false" ht="15" hidden="false" customHeight="false" outlineLevel="0" collapsed="false">
      <c r="A1268" s="41" t="n">
        <v>46283</v>
      </c>
      <c r="B1268" s="42" t="n">
        <f aca="false">DATE(YEAR(A1268),MONTH(A1268),1)</f>
        <v>46266</v>
      </c>
      <c r="C1268" s="3" t="s">
        <v>59</v>
      </c>
      <c r="D1268" s="3" t="s">
        <v>60</v>
      </c>
      <c r="E1268" s="3" t="s">
        <v>27</v>
      </c>
      <c r="F1268" s="3" t="n">
        <v>33</v>
      </c>
      <c r="G1268" s="36" t="n">
        <v>0.6</v>
      </c>
      <c r="H1268" s="36" t="n">
        <f aca="false">F1268*G1268</f>
        <v>19.8</v>
      </c>
      <c r="I1268" s="36" t="n">
        <f aca="false">INDEX(Inventory!$D$2:$D$17,MATCH(C1268,Inventory!$A$2:$A$17,0))</f>
        <v>0.3</v>
      </c>
      <c r="J1268" s="36" t="n">
        <f aca="false">F1268*I1268</f>
        <v>9.9</v>
      </c>
      <c r="K1268" s="36" t="n">
        <f aca="false">H1268-J1268</f>
        <v>9.9</v>
      </c>
    </row>
    <row r="1269" customFormat="false" ht="15" hidden="false" customHeight="false" outlineLevel="0" collapsed="false">
      <c r="A1269" s="41" t="n">
        <v>46283</v>
      </c>
      <c r="B1269" s="42" t="n">
        <f aca="false">DATE(YEAR(A1269),MONTH(A1269),1)</f>
        <v>46266</v>
      </c>
      <c r="C1269" s="3" t="s">
        <v>57</v>
      </c>
      <c r="D1269" s="3" t="s">
        <v>58</v>
      </c>
      <c r="E1269" s="3" t="s">
        <v>27</v>
      </c>
      <c r="F1269" s="3" t="n">
        <v>15</v>
      </c>
      <c r="G1269" s="36" t="n">
        <v>1.5</v>
      </c>
      <c r="H1269" s="36" t="n">
        <f aca="false">F1269*G1269</f>
        <v>22.5</v>
      </c>
      <c r="I1269" s="36" t="n">
        <f aca="false">INDEX(Inventory!$D$2:$D$17,MATCH(C1269,Inventory!$A$2:$A$17,0))</f>
        <v>0.9</v>
      </c>
      <c r="J1269" s="36" t="n">
        <f aca="false">F1269*I1269</f>
        <v>13.5</v>
      </c>
      <c r="K1269" s="36" t="n">
        <f aca="false">H1269-J1269</f>
        <v>9</v>
      </c>
    </row>
    <row r="1270" customFormat="false" ht="15" hidden="false" customHeight="false" outlineLevel="0" collapsed="false">
      <c r="A1270" s="41" t="n">
        <v>46283</v>
      </c>
      <c r="B1270" s="42" t="n">
        <f aca="false">DATE(YEAR(A1270),MONTH(A1270),1)</f>
        <v>46266</v>
      </c>
      <c r="C1270" s="3" t="s">
        <v>41</v>
      </c>
      <c r="D1270" s="3" t="s">
        <v>42</v>
      </c>
      <c r="E1270" s="3" t="s">
        <v>28</v>
      </c>
      <c r="F1270" s="3" t="n">
        <v>25</v>
      </c>
      <c r="G1270" s="36" t="n">
        <v>1.3</v>
      </c>
      <c r="H1270" s="36" t="n">
        <f aca="false">F1270*G1270</f>
        <v>32.5</v>
      </c>
      <c r="I1270" s="36" t="n">
        <f aca="false">INDEX(Inventory!$D$2:$D$17,MATCH(C1270,Inventory!$A$2:$A$17,0))</f>
        <v>0.8</v>
      </c>
      <c r="J1270" s="36" t="n">
        <f aca="false">F1270*I1270</f>
        <v>20</v>
      </c>
      <c r="K1270" s="36" t="n">
        <f aca="false">H1270-J1270</f>
        <v>12.5</v>
      </c>
    </row>
    <row r="1271" customFormat="false" ht="15" hidden="false" customHeight="false" outlineLevel="0" collapsed="false">
      <c r="A1271" s="41" t="n">
        <v>46283</v>
      </c>
      <c r="B1271" s="42" t="n">
        <f aca="false">DATE(YEAR(A1271),MONTH(A1271),1)</f>
        <v>46266</v>
      </c>
      <c r="C1271" s="3" t="s">
        <v>63</v>
      </c>
      <c r="D1271" s="3" t="s">
        <v>64</v>
      </c>
      <c r="E1271" s="3" t="s">
        <v>28</v>
      </c>
      <c r="F1271" s="3" t="n">
        <v>21</v>
      </c>
      <c r="G1271" s="36" t="n">
        <v>0.9</v>
      </c>
      <c r="H1271" s="36" t="n">
        <f aca="false">F1271*G1271</f>
        <v>18.9</v>
      </c>
      <c r="I1271" s="36" t="n">
        <f aca="false">INDEX(Inventory!$D$2:$D$17,MATCH(C1271,Inventory!$A$2:$A$17,0))</f>
        <v>0.5</v>
      </c>
      <c r="J1271" s="36" t="n">
        <f aca="false">F1271*I1271</f>
        <v>10.5</v>
      </c>
      <c r="K1271" s="36" t="n">
        <f aca="false">H1271-J1271</f>
        <v>8.4</v>
      </c>
    </row>
    <row r="1272" customFormat="false" ht="15" hidden="false" customHeight="false" outlineLevel="0" collapsed="false">
      <c r="A1272" s="41" t="n">
        <v>46283</v>
      </c>
      <c r="B1272" s="42" t="n">
        <f aca="false">DATE(YEAR(A1272),MONTH(A1272),1)</f>
        <v>46266</v>
      </c>
      <c r="C1272" s="3" t="s">
        <v>49</v>
      </c>
      <c r="D1272" s="3" t="s">
        <v>50</v>
      </c>
      <c r="E1272" s="3" t="s">
        <v>28</v>
      </c>
      <c r="F1272" s="3" t="n">
        <v>15</v>
      </c>
      <c r="G1272" s="36" t="n">
        <v>1.2</v>
      </c>
      <c r="H1272" s="36" t="n">
        <f aca="false">F1272*G1272</f>
        <v>18</v>
      </c>
      <c r="I1272" s="36" t="n">
        <f aca="false">INDEX(Inventory!$D$2:$D$17,MATCH(C1272,Inventory!$A$2:$A$17,0))</f>
        <v>0.7</v>
      </c>
      <c r="J1272" s="36" t="n">
        <f aca="false">F1272*I1272</f>
        <v>10.5</v>
      </c>
      <c r="K1272" s="36" t="n">
        <f aca="false">H1272-J1272</f>
        <v>7.5</v>
      </c>
    </row>
    <row r="1273" customFormat="false" ht="15" hidden="false" customHeight="false" outlineLevel="0" collapsed="false">
      <c r="A1273" s="41" t="n">
        <v>46283</v>
      </c>
      <c r="B1273" s="42" t="n">
        <f aca="false">DATE(YEAR(A1273),MONTH(A1273),1)</f>
        <v>46266</v>
      </c>
      <c r="C1273" s="3" t="s">
        <v>51</v>
      </c>
      <c r="D1273" s="3" t="s">
        <v>52</v>
      </c>
      <c r="E1273" s="3" t="s">
        <v>28</v>
      </c>
      <c r="F1273" s="3" t="n">
        <v>30</v>
      </c>
      <c r="G1273" s="36" t="n">
        <v>0.85</v>
      </c>
      <c r="H1273" s="36" t="n">
        <f aca="false">F1273*G1273</f>
        <v>25.5</v>
      </c>
      <c r="I1273" s="36" t="n">
        <f aca="false">INDEX(Inventory!$D$2:$D$17,MATCH(C1273,Inventory!$A$2:$A$17,0))</f>
        <v>0.45</v>
      </c>
      <c r="J1273" s="36" t="n">
        <f aca="false">F1273*I1273</f>
        <v>13.5</v>
      </c>
      <c r="K1273" s="36" t="n">
        <f aca="false">H1273-J1273</f>
        <v>12</v>
      </c>
    </row>
    <row r="1274" customFormat="false" ht="15" hidden="false" customHeight="false" outlineLevel="0" collapsed="false">
      <c r="A1274" s="41" t="n">
        <v>46283</v>
      </c>
      <c r="B1274" s="42" t="n">
        <f aca="false">DATE(YEAR(A1274),MONTH(A1274),1)</f>
        <v>46266</v>
      </c>
      <c r="C1274" s="3" t="s">
        <v>37</v>
      </c>
      <c r="D1274" s="3" t="s">
        <v>38</v>
      </c>
      <c r="E1274" s="3" t="s">
        <v>26</v>
      </c>
      <c r="F1274" s="3" t="n">
        <v>33</v>
      </c>
      <c r="G1274" s="36" t="n">
        <v>1.2</v>
      </c>
      <c r="H1274" s="36" t="n">
        <f aca="false">F1274*G1274</f>
        <v>39.6</v>
      </c>
      <c r="I1274" s="36" t="n">
        <f aca="false">INDEX(Inventory!$D$2:$D$17,MATCH(C1274,Inventory!$A$2:$A$17,0))</f>
        <v>0.85</v>
      </c>
      <c r="J1274" s="36" t="n">
        <f aca="false">F1274*I1274</f>
        <v>28.05</v>
      </c>
      <c r="K1274" s="36" t="n">
        <f aca="false">H1274-J1274</f>
        <v>11.55</v>
      </c>
    </row>
    <row r="1275" customFormat="false" ht="15" hidden="false" customHeight="false" outlineLevel="0" collapsed="false">
      <c r="A1275" s="41" t="n">
        <v>46283</v>
      </c>
      <c r="B1275" s="42" t="n">
        <f aca="false">DATE(YEAR(A1275),MONTH(A1275),1)</f>
        <v>46266</v>
      </c>
      <c r="C1275" s="3" t="s">
        <v>47</v>
      </c>
      <c r="D1275" s="3" t="s">
        <v>48</v>
      </c>
      <c r="E1275" s="3" t="s">
        <v>26</v>
      </c>
      <c r="F1275" s="3" t="n">
        <v>14</v>
      </c>
      <c r="G1275" s="36" t="n">
        <v>2.2</v>
      </c>
      <c r="H1275" s="36" t="n">
        <f aca="false">F1275*G1275</f>
        <v>30.8</v>
      </c>
      <c r="I1275" s="36" t="n">
        <f aca="false">INDEX(Inventory!$D$2:$D$17,MATCH(C1275,Inventory!$A$2:$A$17,0))</f>
        <v>1.4</v>
      </c>
      <c r="J1275" s="36" t="n">
        <f aca="false">F1275*I1275</f>
        <v>19.6</v>
      </c>
      <c r="K1275" s="36" t="n">
        <f aca="false">H1275-J1275</f>
        <v>11.2</v>
      </c>
    </row>
    <row r="1276" customFormat="false" ht="15" hidden="false" customHeight="false" outlineLevel="0" collapsed="false">
      <c r="A1276" s="41" t="n">
        <v>46283</v>
      </c>
      <c r="B1276" s="42" t="n">
        <f aca="false">DATE(YEAR(A1276),MONTH(A1276),1)</f>
        <v>46266</v>
      </c>
      <c r="C1276" s="3" t="s">
        <v>43</v>
      </c>
      <c r="D1276" s="3" t="s">
        <v>44</v>
      </c>
      <c r="E1276" s="3" t="s">
        <v>26</v>
      </c>
      <c r="F1276" s="3" t="n">
        <v>8</v>
      </c>
      <c r="G1276" s="36" t="n">
        <v>3.8</v>
      </c>
      <c r="H1276" s="36" t="n">
        <f aca="false">F1276*G1276</f>
        <v>30.4</v>
      </c>
      <c r="I1276" s="36" t="n">
        <f aca="false">INDEX(Inventory!$D$2:$D$17,MATCH(C1276,Inventory!$A$2:$A$17,0))</f>
        <v>2.6</v>
      </c>
      <c r="J1276" s="36" t="n">
        <f aca="false">F1276*I1276</f>
        <v>20.8</v>
      </c>
      <c r="K1276" s="36" t="n">
        <f aca="false">H1276-J1276</f>
        <v>9.6</v>
      </c>
    </row>
    <row r="1277" customFormat="false" ht="15" hidden="false" customHeight="false" outlineLevel="0" collapsed="false">
      <c r="A1277" s="41" t="n">
        <v>46283</v>
      </c>
      <c r="B1277" s="42" t="n">
        <f aca="false">DATE(YEAR(A1277),MONTH(A1277),1)</f>
        <v>46266</v>
      </c>
      <c r="C1277" s="3" t="s">
        <v>67</v>
      </c>
      <c r="D1277" s="3" t="s">
        <v>68</v>
      </c>
      <c r="E1277" s="3" t="s">
        <v>26</v>
      </c>
      <c r="F1277" s="3" t="n">
        <v>9</v>
      </c>
      <c r="G1277" s="36" t="n">
        <v>1.9</v>
      </c>
      <c r="H1277" s="36" t="n">
        <f aca="false">F1277*G1277</f>
        <v>17.1</v>
      </c>
      <c r="I1277" s="36" t="n">
        <f aca="false">INDEX(Inventory!$D$2:$D$17,MATCH(C1277,Inventory!$A$2:$A$17,0))</f>
        <v>1.3</v>
      </c>
      <c r="J1277" s="36" t="n">
        <f aca="false">F1277*I1277</f>
        <v>11.7</v>
      </c>
      <c r="K1277" s="36" t="n">
        <f aca="false">H1277-J1277</f>
        <v>5.4</v>
      </c>
    </row>
    <row r="1278" customFormat="false" ht="15" hidden="false" customHeight="false" outlineLevel="0" collapsed="false">
      <c r="A1278" s="41" t="n">
        <v>46283</v>
      </c>
      <c r="B1278" s="42" t="n">
        <f aca="false">DATE(YEAR(A1278),MONTH(A1278),1)</f>
        <v>46266</v>
      </c>
      <c r="C1278" s="3" t="s">
        <v>61</v>
      </c>
      <c r="D1278" s="3" t="s">
        <v>62</v>
      </c>
      <c r="E1278" s="3" t="s">
        <v>29</v>
      </c>
      <c r="F1278" s="3" t="n">
        <v>10</v>
      </c>
      <c r="G1278" s="36" t="n">
        <v>1.9</v>
      </c>
      <c r="H1278" s="36" t="n">
        <f aca="false">F1278*G1278</f>
        <v>19</v>
      </c>
      <c r="I1278" s="36" t="n">
        <f aca="false">INDEX(Inventory!$D$2:$D$17,MATCH(C1278,Inventory!$A$2:$A$17,0))</f>
        <v>1.1</v>
      </c>
      <c r="J1278" s="36" t="n">
        <f aca="false">F1278*I1278</f>
        <v>11</v>
      </c>
      <c r="K1278" s="36" t="n">
        <f aca="false">H1278-J1278</f>
        <v>8</v>
      </c>
    </row>
    <row r="1279" customFormat="false" ht="15" hidden="false" customHeight="false" outlineLevel="0" collapsed="false">
      <c r="A1279" s="41" t="n">
        <v>46283</v>
      </c>
      <c r="B1279" s="42" t="n">
        <f aca="false">DATE(YEAR(A1279),MONTH(A1279),1)</f>
        <v>46266</v>
      </c>
      <c r="C1279" s="3" t="s">
        <v>45</v>
      </c>
      <c r="D1279" s="3" t="s">
        <v>46</v>
      </c>
      <c r="E1279" s="3" t="s">
        <v>29</v>
      </c>
      <c r="F1279" s="3" t="n">
        <v>8</v>
      </c>
      <c r="G1279" s="36" t="n">
        <v>5.2</v>
      </c>
      <c r="H1279" s="36" t="n">
        <f aca="false">F1279*G1279</f>
        <v>41.6</v>
      </c>
      <c r="I1279" s="36" t="n">
        <f aca="false">INDEX(Inventory!$D$2:$D$17,MATCH(C1279,Inventory!$A$2:$A$17,0))</f>
        <v>3.5</v>
      </c>
      <c r="J1279" s="36" t="n">
        <f aca="false">F1279*I1279</f>
        <v>28</v>
      </c>
      <c r="K1279" s="36" t="n">
        <f aca="false">H1279-J1279</f>
        <v>13.6</v>
      </c>
    </row>
    <row r="1280" customFormat="false" ht="15" hidden="false" customHeight="false" outlineLevel="0" collapsed="false">
      <c r="A1280" s="41" t="n">
        <v>46283</v>
      </c>
      <c r="B1280" s="42" t="n">
        <f aca="false">DATE(YEAR(A1280),MONTH(A1280),1)</f>
        <v>46266</v>
      </c>
      <c r="C1280" s="3" t="s">
        <v>65</v>
      </c>
      <c r="D1280" s="3" t="s">
        <v>66</v>
      </c>
      <c r="E1280" s="3" t="s">
        <v>29</v>
      </c>
      <c r="F1280" s="3" t="n">
        <v>11</v>
      </c>
      <c r="G1280" s="36" t="n">
        <v>1.5</v>
      </c>
      <c r="H1280" s="36" t="n">
        <f aca="false">F1280*G1280</f>
        <v>16.5</v>
      </c>
      <c r="I1280" s="36" t="n">
        <f aca="false">INDEX(Inventory!$D$2:$D$17,MATCH(C1280,Inventory!$A$2:$A$17,0))</f>
        <v>0.9</v>
      </c>
      <c r="J1280" s="36" t="n">
        <f aca="false">F1280*I1280</f>
        <v>9.9</v>
      </c>
      <c r="K1280" s="36" t="n">
        <f aca="false">H1280-J1280</f>
        <v>6.6</v>
      </c>
    </row>
    <row r="1281" customFormat="false" ht="15" hidden="false" customHeight="false" outlineLevel="0" collapsed="false">
      <c r="A1281" s="41" t="n">
        <v>46283</v>
      </c>
      <c r="B1281" s="42" t="n">
        <f aca="false">DATE(YEAR(A1281),MONTH(A1281),1)</f>
        <v>46266</v>
      </c>
      <c r="C1281" s="3" t="s">
        <v>55</v>
      </c>
      <c r="D1281" s="3" t="s">
        <v>56</v>
      </c>
      <c r="E1281" s="3" t="s">
        <v>29</v>
      </c>
      <c r="F1281" s="3" t="n">
        <v>6</v>
      </c>
      <c r="G1281" s="36" t="n">
        <v>2.5</v>
      </c>
      <c r="H1281" s="36" t="n">
        <f aca="false">F1281*G1281</f>
        <v>15</v>
      </c>
      <c r="I1281" s="36" t="n">
        <f aca="false">INDEX(Inventory!$D$2:$D$17,MATCH(C1281,Inventory!$A$2:$A$17,0))</f>
        <v>1.6</v>
      </c>
      <c r="J1281" s="36" t="n">
        <f aca="false">F1281*I1281</f>
        <v>9.6</v>
      </c>
      <c r="K1281" s="36" t="n">
        <f aca="false">H1281-J1281</f>
        <v>5.4</v>
      </c>
    </row>
    <row r="1282" customFormat="false" ht="15" hidden="false" customHeight="false" outlineLevel="0" collapsed="false">
      <c r="A1282" s="41" t="n">
        <v>46284</v>
      </c>
      <c r="B1282" s="42" t="n">
        <f aca="false">DATE(YEAR(A1282),MONTH(A1282),1)</f>
        <v>46266</v>
      </c>
      <c r="C1282" s="3" t="s">
        <v>39</v>
      </c>
      <c r="D1282" s="3" t="s">
        <v>40</v>
      </c>
      <c r="E1282" s="3" t="s">
        <v>27</v>
      </c>
      <c r="F1282" s="3" t="n">
        <v>41</v>
      </c>
      <c r="G1282" s="36" t="n">
        <v>1</v>
      </c>
      <c r="H1282" s="36" t="n">
        <f aca="false">F1282*G1282</f>
        <v>41</v>
      </c>
      <c r="I1282" s="36" t="n">
        <f aca="false">INDEX(Inventory!$D$2:$D$17,MATCH(C1282,Inventory!$A$2:$A$17,0))</f>
        <v>0.6</v>
      </c>
      <c r="J1282" s="36" t="n">
        <f aca="false">F1282*I1282</f>
        <v>24.6</v>
      </c>
      <c r="K1282" s="36" t="n">
        <f aca="false">H1282-J1282</f>
        <v>16.4</v>
      </c>
    </row>
    <row r="1283" customFormat="false" ht="15" hidden="false" customHeight="false" outlineLevel="0" collapsed="false">
      <c r="A1283" s="41" t="n">
        <v>46284</v>
      </c>
      <c r="B1283" s="42" t="n">
        <f aca="false">DATE(YEAR(A1283),MONTH(A1283),1)</f>
        <v>46266</v>
      </c>
      <c r="C1283" s="3" t="s">
        <v>53</v>
      </c>
      <c r="D1283" s="3" t="s">
        <v>54</v>
      </c>
      <c r="E1283" s="3" t="s">
        <v>27</v>
      </c>
      <c r="F1283" s="3" t="n">
        <v>27</v>
      </c>
      <c r="G1283" s="36" t="n">
        <v>0.95</v>
      </c>
      <c r="H1283" s="36" t="n">
        <f aca="false">F1283*G1283</f>
        <v>25.65</v>
      </c>
      <c r="I1283" s="36" t="n">
        <f aca="false">INDEX(Inventory!$D$2:$D$17,MATCH(C1283,Inventory!$A$2:$A$17,0))</f>
        <v>0.55</v>
      </c>
      <c r="J1283" s="36" t="n">
        <f aca="false">F1283*I1283</f>
        <v>14.85</v>
      </c>
      <c r="K1283" s="36" t="n">
        <f aca="false">H1283-J1283</f>
        <v>10.8</v>
      </c>
    </row>
    <row r="1284" customFormat="false" ht="15" hidden="false" customHeight="false" outlineLevel="0" collapsed="false">
      <c r="A1284" s="41" t="n">
        <v>46284</v>
      </c>
      <c r="B1284" s="42" t="n">
        <f aca="false">DATE(YEAR(A1284),MONTH(A1284),1)</f>
        <v>46266</v>
      </c>
      <c r="C1284" s="3" t="s">
        <v>59</v>
      </c>
      <c r="D1284" s="3" t="s">
        <v>60</v>
      </c>
      <c r="E1284" s="3" t="s">
        <v>27</v>
      </c>
      <c r="F1284" s="3" t="n">
        <v>41</v>
      </c>
      <c r="G1284" s="36" t="n">
        <v>0.6</v>
      </c>
      <c r="H1284" s="36" t="n">
        <f aca="false">F1284*G1284</f>
        <v>24.6</v>
      </c>
      <c r="I1284" s="36" t="n">
        <f aca="false">INDEX(Inventory!$D$2:$D$17,MATCH(C1284,Inventory!$A$2:$A$17,0))</f>
        <v>0.3</v>
      </c>
      <c r="J1284" s="36" t="n">
        <f aca="false">F1284*I1284</f>
        <v>12.3</v>
      </c>
      <c r="K1284" s="36" t="n">
        <f aca="false">H1284-J1284</f>
        <v>12.3</v>
      </c>
    </row>
    <row r="1285" customFormat="false" ht="15" hidden="false" customHeight="false" outlineLevel="0" collapsed="false">
      <c r="A1285" s="41" t="n">
        <v>46284</v>
      </c>
      <c r="B1285" s="42" t="n">
        <f aca="false">DATE(YEAR(A1285),MONTH(A1285),1)</f>
        <v>46266</v>
      </c>
      <c r="C1285" s="3" t="s">
        <v>57</v>
      </c>
      <c r="D1285" s="3" t="s">
        <v>58</v>
      </c>
      <c r="E1285" s="3" t="s">
        <v>27</v>
      </c>
      <c r="F1285" s="3" t="n">
        <v>15</v>
      </c>
      <c r="G1285" s="36" t="n">
        <v>1.5</v>
      </c>
      <c r="H1285" s="36" t="n">
        <f aca="false">F1285*G1285</f>
        <v>22.5</v>
      </c>
      <c r="I1285" s="36" t="n">
        <f aca="false">INDEX(Inventory!$D$2:$D$17,MATCH(C1285,Inventory!$A$2:$A$17,0))</f>
        <v>0.9</v>
      </c>
      <c r="J1285" s="36" t="n">
        <f aca="false">F1285*I1285</f>
        <v>13.5</v>
      </c>
      <c r="K1285" s="36" t="n">
        <f aca="false">H1285-J1285</f>
        <v>9</v>
      </c>
    </row>
    <row r="1286" customFormat="false" ht="15" hidden="false" customHeight="false" outlineLevel="0" collapsed="false">
      <c r="A1286" s="41" t="n">
        <v>46284</v>
      </c>
      <c r="B1286" s="42" t="n">
        <f aca="false">DATE(YEAR(A1286),MONTH(A1286),1)</f>
        <v>46266</v>
      </c>
      <c r="C1286" s="3" t="s">
        <v>41</v>
      </c>
      <c r="D1286" s="3" t="s">
        <v>42</v>
      </c>
      <c r="E1286" s="3" t="s">
        <v>28</v>
      </c>
      <c r="F1286" s="3" t="n">
        <v>28</v>
      </c>
      <c r="G1286" s="36" t="n">
        <v>1.3</v>
      </c>
      <c r="H1286" s="36" t="n">
        <f aca="false">F1286*G1286</f>
        <v>36.4</v>
      </c>
      <c r="I1286" s="36" t="n">
        <f aca="false">INDEX(Inventory!$D$2:$D$17,MATCH(C1286,Inventory!$A$2:$A$17,0))</f>
        <v>0.8</v>
      </c>
      <c r="J1286" s="36" t="n">
        <f aca="false">F1286*I1286</f>
        <v>22.4</v>
      </c>
      <c r="K1286" s="36" t="n">
        <f aca="false">H1286-J1286</f>
        <v>14</v>
      </c>
    </row>
    <row r="1287" customFormat="false" ht="15" hidden="false" customHeight="false" outlineLevel="0" collapsed="false">
      <c r="A1287" s="41" t="n">
        <v>46284</v>
      </c>
      <c r="B1287" s="42" t="n">
        <f aca="false">DATE(YEAR(A1287),MONTH(A1287),1)</f>
        <v>46266</v>
      </c>
      <c r="C1287" s="3" t="s">
        <v>63</v>
      </c>
      <c r="D1287" s="3" t="s">
        <v>64</v>
      </c>
      <c r="E1287" s="3" t="s">
        <v>28</v>
      </c>
      <c r="F1287" s="3" t="n">
        <v>15</v>
      </c>
      <c r="G1287" s="36" t="n">
        <v>0.9</v>
      </c>
      <c r="H1287" s="36" t="n">
        <f aca="false">F1287*G1287</f>
        <v>13.5</v>
      </c>
      <c r="I1287" s="36" t="n">
        <f aca="false">INDEX(Inventory!$D$2:$D$17,MATCH(C1287,Inventory!$A$2:$A$17,0))</f>
        <v>0.5</v>
      </c>
      <c r="J1287" s="36" t="n">
        <f aca="false">F1287*I1287</f>
        <v>7.5</v>
      </c>
      <c r="K1287" s="36" t="n">
        <f aca="false">H1287-J1287</f>
        <v>6</v>
      </c>
    </row>
    <row r="1288" customFormat="false" ht="15" hidden="false" customHeight="false" outlineLevel="0" collapsed="false">
      <c r="A1288" s="41" t="n">
        <v>46284</v>
      </c>
      <c r="B1288" s="42" t="n">
        <f aca="false">DATE(YEAR(A1288),MONTH(A1288),1)</f>
        <v>46266</v>
      </c>
      <c r="C1288" s="3" t="s">
        <v>49</v>
      </c>
      <c r="D1288" s="3" t="s">
        <v>50</v>
      </c>
      <c r="E1288" s="3" t="s">
        <v>28</v>
      </c>
      <c r="F1288" s="3" t="n">
        <v>30</v>
      </c>
      <c r="G1288" s="36" t="n">
        <v>1.2</v>
      </c>
      <c r="H1288" s="36" t="n">
        <f aca="false">F1288*G1288</f>
        <v>36</v>
      </c>
      <c r="I1288" s="36" t="n">
        <f aca="false">INDEX(Inventory!$D$2:$D$17,MATCH(C1288,Inventory!$A$2:$A$17,0))</f>
        <v>0.7</v>
      </c>
      <c r="J1288" s="36" t="n">
        <f aca="false">F1288*I1288</f>
        <v>21</v>
      </c>
      <c r="K1288" s="36" t="n">
        <f aca="false">H1288-J1288</f>
        <v>15</v>
      </c>
    </row>
    <row r="1289" customFormat="false" ht="15" hidden="false" customHeight="false" outlineLevel="0" collapsed="false">
      <c r="A1289" s="41" t="n">
        <v>46284</v>
      </c>
      <c r="B1289" s="42" t="n">
        <f aca="false">DATE(YEAR(A1289),MONTH(A1289),1)</f>
        <v>46266</v>
      </c>
      <c r="C1289" s="3" t="s">
        <v>51</v>
      </c>
      <c r="D1289" s="3" t="s">
        <v>52</v>
      </c>
      <c r="E1289" s="3" t="s">
        <v>28</v>
      </c>
      <c r="F1289" s="3" t="n">
        <v>26</v>
      </c>
      <c r="G1289" s="36" t="n">
        <v>0.85</v>
      </c>
      <c r="H1289" s="36" t="n">
        <f aca="false">F1289*G1289</f>
        <v>22.1</v>
      </c>
      <c r="I1289" s="36" t="n">
        <f aca="false">INDEX(Inventory!$D$2:$D$17,MATCH(C1289,Inventory!$A$2:$A$17,0))</f>
        <v>0.45</v>
      </c>
      <c r="J1289" s="36" t="n">
        <f aca="false">F1289*I1289</f>
        <v>11.7</v>
      </c>
      <c r="K1289" s="36" t="n">
        <f aca="false">H1289-J1289</f>
        <v>10.4</v>
      </c>
    </row>
    <row r="1290" customFormat="false" ht="15" hidden="false" customHeight="false" outlineLevel="0" collapsed="false">
      <c r="A1290" s="41" t="n">
        <v>46284</v>
      </c>
      <c r="B1290" s="42" t="n">
        <f aca="false">DATE(YEAR(A1290),MONTH(A1290),1)</f>
        <v>46266</v>
      </c>
      <c r="C1290" s="3" t="s">
        <v>37</v>
      </c>
      <c r="D1290" s="3" t="s">
        <v>38</v>
      </c>
      <c r="E1290" s="3" t="s">
        <v>26</v>
      </c>
      <c r="F1290" s="3" t="n">
        <v>31</v>
      </c>
      <c r="G1290" s="36" t="n">
        <v>1.2</v>
      </c>
      <c r="H1290" s="36" t="n">
        <f aca="false">F1290*G1290</f>
        <v>37.2</v>
      </c>
      <c r="I1290" s="36" t="n">
        <f aca="false">INDEX(Inventory!$D$2:$D$17,MATCH(C1290,Inventory!$A$2:$A$17,0))</f>
        <v>0.85</v>
      </c>
      <c r="J1290" s="36" t="n">
        <f aca="false">F1290*I1290</f>
        <v>26.35</v>
      </c>
      <c r="K1290" s="36" t="n">
        <f aca="false">H1290-J1290</f>
        <v>10.85</v>
      </c>
    </row>
    <row r="1291" customFormat="false" ht="15" hidden="false" customHeight="false" outlineLevel="0" collapsed="false">
      <c r="A1291" s="41" t="n">
        <v>46284</v>
      </c>
      <c r="B1291" s="42" t="n">
        <f aca="false">DATE(YEAR(A1291),MONTH(A1291),1)</f>
        <v>46266</v>
      </c>
      <c r="C1291" s="3" t="s">
        <v>47</v>
      </c>
      <c r="D1291" s="3" t="s">
        <v>48</v>
      </c>
      <c r="E1291" s="3" t="s">
        <v>26</v>
      </c>
      <c r="F1291" s="3" t="n">
        <v>17</v>
      </c>
      <c r="G1291" s="36" t="n">
        <v>2.2</v>
      </c>
      <c r="H1291" s="36" t="n">
        <f aca="false">F1291*G1291</f>
        <v>37.4</v>
      </c>
      <c r="I1291" s="36" t="n">
        <f aca="false">INDEX(Inventory!$D$2:$D$17,MATCH(C1291,Inventory!$A$2:$A$17,0))</f>
        <v>1.4</v>
      </c>
      <c r="J1291" s="36" t="n">
        <f aca="false">F1291*I1291</f>
        <v>23.8</v>
      </c>
      <c r="K1291" s="36" t="n">
        <f aca="false">H1291-J1291</f>
        <v>13.6</v>
      </c>
    </row>
    <row r="1292" customFormat="false" ht="15" hidden="false" customHeight="false" outlineLevel="0" collapsed="false">
      <c r="A1292" s="41" t="n">
        <v>46284</v>
      </c>
      <c r="B1292" s="42" t="n">
        <f aca="false">DATE(YEAR(A1292),MONTH(A1292),1)</f>
        <v>46266</v>
      </c>
      <c r="C1292" s="3" t="s">
        <v>43</v>
      </c>
      <c r="D1292" s="3" t="s">
        <v>44</v>
      </c>
      <c r="E1292" s="3" t="s">
        <v>26</v>
      </c>
      <c r="F1292" s="3" t="n">
        <v>11</v>
      </c>
      <c r="G1292" s="36" t="n">
        <v>3.8</v>
      </c>
      <c r="H1292" s="36" t="n">
        <f aca="false">F1292*G1292</f>
        <v>41.8</v>
      </c>
      <c r="I1292" s="36" t="n">
        <f aca="false">INDEX(Inventory!$D$2:$D$17,MATCH(C1292,Inventory!$A$2:$A$17,0))</f>
        <v>2.6</v>
      </c>
      <c r="J1292" s="36" t="n">
        <f aca="false">F1292*I1292</f>
        <v>28.6</v>
      </c>
      <c r="K1292" s="36" t="n">
        <f aca="false">H1292-J1292</f>
        <v>13.2</v>
      </c>
    </row>
    <row r="1293" customFormat="false" ht="15" hidden="false" customHeight="false" outlineLevel="0" collapsed="false">
      <c r="A1293" s="41" t="n">
        <v>46284</v>
      </c>
      <c r="B1293" s="42" t="n">
        <f aca="false">DATE(YEAR(A1293),MONTH(A1293),1)</f>
        <v>46266</v>
      </c>
      <c r="C1293" s="3" t="s">
        <v>67</v>
      </c>
      <c r="D1293" s="3" t="s">
        <v>68</v>
      </c>
      <c r="E1293" s="3" t="s">
        <v>26</v>
      </c>
      <c r="F1293" s="3" t="n">
        <v>10</v>
      </c>
      <c r="G1293" s="36" t="n">
        <v>1.9</v>
      </c>
      <c r="H1293" s="36" t="n">
        <f aca="false">F1293*G1293</f>
        <v>19</v>
      </c>
      <c r="I1293" s="36" t="n">
        <f aca="false">INDEX(Inventory!$D$2:$D$17,MATCH(C1293,Inventory!$A$2:$A$17,0))</f>
        <v>1.3</v>
      </c>
      <c r="J1293" s="36" t="n">
        <f aca="false">F1293*I1293</f>
        <v>13</v>
      </c>
      <c r="K1293" s="36" t="n">
        <f aca="false">H1293-J1293</f>
        <v>6</v>
      </c>
    </row>
    <row r="1294" customFormat="false" ht="15" hidden="false" customHeight="false" outlineLevel="0" collapsed="false">
      <c r="A1294" s="41" t="n">
        <v>46284</v>
      </c>
      <c r="B1294" s="42" t="n">
        <f aca="false">DATE(YEAR(A1294),MONTH(A1294),1)</f>
        <v>46266</v>
      </c>
      <c r="C1294" s="3" t="s">
        <v>61</v>
      </c>
      <c r="D1294" s="3" t="s">
        <v>62</v>
      </c>
      <c r="E1294" s="3" t="s">
        <v>29</v>
      </c>
      <c r="F1294" s="3" t="n">
        <v>17</v>
      </c>
      <c r="G1294" s="36" t="n">
        <v>1.9</v>
      </c>
      <c r="H1294" s="36" t="n">
        <f aca="false">F1294*G1294</f>
        <v>32.3</v>
      </c>
      <c r="I1294" s="36" t="n">
        <f aca="false">INDEX(Inventory!$D$2:$D$17,MATCH(C1294,Inventory!$A$2:$A$17,0))</f>
        <v>1.1</v>
      </c>
      <c r="J1294" s="36" t="n">
        <f aca="false">F1294*I1294</f>
        <v>18.7</v>
      </c>
      <c r="K1294" s="36" t="n">
        <f aca="false">H1294-J1294</f>
        <v>13.6</v>
      </c>
    </row>
    <row r="1295" customFormat="false" ht="15" hidden="false" customHeight="false" outlineLevel="0" collapsed="false">
      <c r="A1295" s="41" t="n">
        <v>46284</v>
      </c>
      <c r="B1295" s="42" t="n">
        <f aca="false">DATE(YEAR(A1295),MONTH(A1295),1)</f>
        <v>46266</v>
      </c>
      <c r="C1295" s="3" t="s">
        <v>45</v>
      </c>
      <c r="D1295" s="3" t="s">
        <v>46</v>
      </c>
      <c r="E1295" s="3" t="s">
        <v>29</v>
      </c>
      <c r="F1295" s="3" t="n">
        <v>7</v>
      </c>
      <c r="G1295" s="36" t="n">
        <v>5.2</v>
      </c>
      <c r="H1295" s="36" t="n">
        <f aca="false">F1295*G1295</f>
        <v>36.4</v>
      </c>
      <c r="I1295" s="36" t="n">
        <f aca="false">INDEX(Inventory!$D$2:$D$17,MATCH(C1295,Inventory!$A$2:$A$17,0))</f>
        <v>3.5</v>
      </c>
      <c r="J1295" s="36" t="n">
        <f aca="false">F1295*I1295</f>
        <v>24.5</v>
      </c>
      <c r="K1295" s="36" t="n">
        <f aca="false">H1295-J1295</f>
        <v>11.9</v>
      </c>
    </row>
    <row r="1296" customFormat="false" ht="15" hidden="false" customHeight="false" outlineLevel="0" collapsed="false">
      <c r="A1296" s="41" t="n">
        <v>46284</v>
      </c>
      <c r="B1296" s="42" t="n">
        <f aca="false">DATE(YEAR(A1296),MONTH(A1296),1)</f>
        <v>46266</v>
      </c>
      <c r="C1296" s="3" t="s">
        <v>65</v>
      </c>
      <c r="D1296" s="3" t="s">
        <v>66</v>
      </c>
      <c r="E1296" s="3" t="s">
        <v>29</v>
      </c>
      <c r="F1296" s="3" t="n">
        <v>10</v>
      </c>
      <c r="G1296" s="36" t="n">
        <v>1.5</v>
      </c>
      <c r="H1296" s="36" t="n">
        <f aca="false">F1296*G1296</f>
        <v>15</v>
      </c>
      <c r="I1296" s="36" t="n">
        <f aca="false">INDEX(Inventory!$D$2:$D$17,MATCH(C1296,Inventory!$A$2:$A$17,0))</f>
        <v>0.9</v>
      </c>
      <c r="J1296" s="36" t="n">
        <f aca="false">F1296*I1296</f>
        <v>9</v>
      </c>
      <c r="K1296" s="36" t="n">
        <f aca="false">H1296-J1296</f>
        <v>6</v>
      </c>
    </row>
    <row r="1297" customFormat="false" ht="15" hidden="false" customHeight="false" outlineLevel="0" collapsed="false">
      <c r="A1297" s="41" t="n">
        <v>46284</v>
      </c>
      <c r="B1297" s="42" t="n">
        <f aca="false">DATE(YEAR(A1297),MONTH(A1297),1)</f>
        <v>46266</v>
      </c>
      <c r="C1297" s="3" t="s">
        <v>55</v>
      </c>
      <c r="D1297" s="3" t="s">
        <v>56</v>
      </c>
      <c r="E1297" s="3" t="s">
        <v>29</v>
      </c>
      <c r="F1297" s="3" t="n">
        <v>12</v>
      </c>
      <c r="G1297" s="36" t="n">
        <v>2.5</v>
      </c>
      <c r="H1297" s="36" t="n">
        <f aca="false">F1297*G1297</f>
        <v>30</v>
      </c>
      <c r="I1297" s="36" t="n">
        <f aca="false">INDEX(Inventory!$D$2:$D$17,MATCH(C1297,Inventory!$A$2:$A$17,0))</f>
        <v>1.6</v>
      </c>
      <c r="J1297" s="36" t="n">
        <f aca="false">F1297*I1297</f>
        <v>19.2</v>
      </c>
      <c r="K1297" s="36" t="n">
        <f aca="false">H1297-J1297</f>
        <v>10.8</v>
      </c>
    </row>
    <row r="1298" customFormat="false" ht="15" hidden="false" customHeight="false" outlineLevel="0" collapsed="false">
      <c r="A1298" s="41" t="n">
        <v>46285</v>
      </c>
      <c r="B1298" s="42" t="n">
        <f aca="false">DATE(YEAR(A1298),MONTH(A1298),1)</f>
        <v>46266</v>
      </c>
      <c r="C1298" s="3" t="s">
        <v>39</v>
      </c>
      <c r="D1298" s="3" t="s">
        <v>40</v>
      </c>
      <c r="E1298" s="3" t="s">
        <v>27</v>
      </c>
      <c r="F1298" s="3" t="n">
        <v>42</v>
      </c>
      <c r="G1298" s="36" t="n">
        <v>1</v>
      </c>
      <c r="H1298" s="36" t="n">
        <f aca="false">F1298*G1298</f>
        <v>42</v>
      </c>
      <c r="I1298" s="36" t="n">
        <f aca="false">INDEX(Inventory!$D$2:$D$17,MATCH(C1298,Inventory!$A$2:$A$17,0))</f>
        <v>0.6</v>
      </c>
      <c r="J1298" s="36" t="n">
        <f aca="false">F1298*I1298</f>
        <v>25.2</v>
      </c>
      <c r="K1298" s="36" t="n">
        <f aca="false">H1298-J1298</f>
        <v>16.8</v>
      </c>
    </row>
    <row r="1299" customFormat="false" ht="15" hidden="false" customHeight="false" outlineLevel="0" collapsed="false">
      <c r="A1299" s="41" t="n">
        <v>46285</v>
      </c>
      <c r="B1299" s="42" t="n">
        <f aca="false">DATE(YEAR(A1299),MONTH(A1299),1)</f>
        <v>46266</v>
      </c>
      <c r="C1299" s="3" t="s">
        <v>53</v>
      </c>
      <c r="D1299" s="3" t="s">
        <v>54</v>
      </c>
      <c r="E1299" s="3" t="s">
        <v>27</v>
      </c>
      <c r="F1299" s="3" t="n">
        <v>24</v>
      </c>
      <c r="G1299" s="36" t="n">
        <v>0.95</v>
      </c>
      <c r="H1299" s="36" t="n">
        <f aca="false">F1299*G1299</f>
        <v>22.8</v>
      </c>
      <c r="I1299" s="36" t="n">
        <f aca="false">INDEX(Inventory!$D$2:$D$17,MATCH(C1299,Inventory!$A$2:$A$17,0))</f>
        <v>0.55</v>
      </c>
      <c r="J1299" s="36" t="n">
        <f aca="false">F1299*I1299</f>
        <v>13.2</v>
      </c>
      <c r="K1299" s="36" t="n">
        <f aca="false">H1299-J1299</f>
        <v>9.6</v>
      </c>
    </row>
    <row r="1300" customFormat="false" ht="15" hidden="false" customHeight="false" outlineLevel="0" collapsed="false">
      <c r="A1300" s="41" t="n">
        <v>46285</v>
      </c>
      <c r="B1300" s="42" t="n">
        <f aca="false">DATE(YEAR(A1300),MONTH(A1300),1)</f>
        <v>46266</v>
      </c>
      <c r="C1300" s="3" t="s">
        <v>59</v>
      </c>
      <c r="D1300" s="3" t="s">
        <v>60</v>
      </c>
      <c r="E1300" s="3" t="s">
        <v>27</v>
      </c>
      <c r="F1300" s="3" t="n">
        <v>33</v>
      </c>
      <c r="G1300" s="36" t="n">
        <v>0.6</v>
      </c>
      <c r="H1300" s="36" t="n">
        <f aca="false">F1300*G1300</f>
        <v>19.8</v>
      </c>
      <c r="I1300" s="36" t="n">
        <f aca="false">INDEX(Inventory!$D$2:$D$17,MATCH(C1300,Inventory!$A$2:$A$17,0))</f>
        <v>0.3</v>
      </c>
      <c r="J1300" s="36" t="n">
        <f aca="false">F1300*I1300</f>
        <v>9.9</v>
      </c>
      <c r="K1300" s="36" t="n">
        <f aca="false">H1300-J1300</f>
        <v>9.9</v>
      </c>
    </row>
    <row r="1301" customFormat="false" ht="15" hidden="false" customHeight="false" outlineLevel="0" collapsed="false">
      <c r="A1301" s="41" t="n">
        <v>46285</v>
      </c>
      <c r="B1301" s="42" t="n">
        <f aca="false">DATE(YEAR(A1301),MONTH(A1301),1)</f>
        <v>46266</v>
      </c>
      <c r="C1301" s="3" t="s">
        <v>57</v>
      </c>
      <c r="D1301" s="3" t="s">
        <v>58</v>
      </c>
      <c r="E1301" s="3" t="s">
        <v>27</v>
      </c>
      <c r="F1301" s="3" t="n">
        <v>21</v>
      </c>
      <c r="G1301" s="36" t="n">
        <v>1.5</v>
      </c>
      <c r="H1301" s="36" t="n">
        <f aca="false">F1301*G1301</f>
        <v>31.5</v>
      </c>
      <c r="I1301" s="36" t="n">
        <f aca="false">INDEX(Inventory!$D$2:$D$17,MATCH(C1301,Inventory!$A$2:$A$17,0))</f>
        <v>0.9</v>
      </c>
      <c r="J1301" s="36" t="n">
        <f aca="false">F1301*I1301</f>
        <v>18.9</v>
      </c>
      <c r="K1301" s="36" t="n">
        <f aca="false">H1301-J1301</f>
        <v>12.6</v>
      </c>
    </row>
    <row r="1302" customFormat="false" ht="15" hidden="false" customHeight="false" outlineLevel="0" collapsed="false">
      <c r="A1302" s="41" t="n">
        <v>46285</v>
      </c>
      <c r="B1302" s="42" t="n">
        <f aca="false">DATE(YEAR(A1302),MONTH(A1302),1)</f>
        <v>46266</v>
      </c>
      <c r="C1302" s="3" t="s">
        <v>41</v>
      </c>
      <c r="D1302" s="3" t="s">
        <v>42</v>
      </c>
      <c r="E1302" s="3" t="s">
        <v>28</v>
      </c>
      <c r="F1302" s="3" t="n">
        <v>31</v>
      </c>
      <c r="G1302" s="36" t="n">
        <v>1.3</v>
      </c>
      <c r="H1302" s="36" t="n">
        <f aca="false">F1302*G1302</f>
        <v>40.3</v>
      </c>
      <c r="I1302" s="36" t="n">
        <f aca="false">INDEX(Inventory!$D$2:$D$17,MATCH(C1302,Inventory!$A$2:$A$17,0))</f>
        <v>0.8</v>
      </c>
      <c r="J1302" s="36" t="n">
        <f aca="false">F1302*I1302</f>
        <v>24.8</v>
      </c>
      <c r="K1302" s="36" t="n">
        <f aca="false">H1302-J1302</f>
        <v>15.5</v>
      </c>
    </row>
    <row r="1303" customFormat="false" ht="15" hidden="false" customHeight="false" outlineLevel="0" collapsed="false">
      <c r="A1303" s="41" t="n">
        <v>46285</v>
      </c>
      <c r="B1303" s="42" t="n">
        <f aca="false">DATE(YEAR(A1303),MONTH(A1303),1)</f>
        <v>46266</v>
      </c>
      <c r="C1303" s="3" t="s">
        <v>63</v>
      </c>
      <c r="D1303" s="3" t="s">
        <v>64</v>
      </c>
      <c r="E1303" s="3" t="s">
        <v>28</v>
      </c>
      <c r="F1303" s="3" t="n">
        <v>15</v>
      </c>
      <c r="G1303" s="36" t="n">
        <v>0.9</v>
      </c>
      <c r="H1303" s="36" t="n">
        <f aca="false">F1303*G1303</f>
        <v>13.5</v>
      </c>
      <c r="I1303" s="36" t="n">
        <f aca="false">INDEX(Inventory!$D$2:$D$17,MATCH(C1303,Inventory!$A$2:$A$17,0))</f>
        <v>0.5</v>
      </c>
      <c r="J1303" s="36" t="n">
        <f aca="false">F1303*I1303</f>
        <v>7.5</v>
      </c>
      <c r="K1303" s="36" t="n">
        <f aca="false">H1303-J1303</f>
        <v>6</v>
      </c>
    </row>
    <row r="1304" customFormat="false" ht="15" hidden="false" customHeight="false" outlineLevel="0" collapsed="false">
      <c r="A1304" s="41" t="n">
        <v>46285</v>
      </c>
      <c r="B1304" s="42" t="n">
        <f aca="false">DATE(YEAR(A1304),MONTH(A1304),1)</f>
        <v>46266</v>
      </c>
      <c r="C1304" s="3" t="s">
        <v>49</v>
      </c>
      <c r="D1304" s="3" t="s">
        <v>50</v>
      </c>
      <c r="E1304" s="3" t="s">
        <v>28</v>
      </c>
      <c r="F1304" s="3" t="n">
        <v>26</v>
      </c>
      <c r="G1304" s="36" t="n">
        <v>1.2</v>
      </c>
      <c r="H1304" s="36" t="n">
        <f aca="false">F1304*G1304</f>
        <v>31.2</v>
      </c>
      <c r="I1304" s="36" t="n">
        <f aca="false">INDEX(Inventory!$D$2:$D$17,MATCH(C1304,Inventory!$A$2:$A$17,0))</f>
        <v>0.7</v>
      </c>
      <c r="J1304" s="36" t="n">
        <f aca="false">F1304*I1304</f>
        <v>18.2</v>
      </c>
      <c r="K1304" s="36" t="n">
        <f aca="false">H1304-J1304</f>
        <v>13</v>
      </c>
    </row>
    <row r="1305" customFormat="false" ht="15" hidden="false" customHeight="false" outlineLevel="0" collapsed="false">
      <c r="A1305" s="41" t="n">
        <v>46285</v>
      </c>
      <c r="B1305" s="42" t="n">
        <f aca="false">DATE(YEAR(A1305),MONTH(A1305),1)</f>
        <v>46266</v>
      </c>
      <c r="C1305" s="3" t="s">
        <v>51</v>
      </c>
      <c r="D1305" s="3" t="s">
        <v>52</v>
      </c>
      <c r="E1305" s="3" t="s">
        <v>28</v>
      </c>
      <c r="F1305" s="3" t="n">
        <v>23</v>
      </c>
      <c r="G1305" s="36" t="n">
        <v>0.85</v>
      </c>
      <c r="H1305" s="36" t="n">
        <f aca="false">F1305*G1305</f>
        <v>19.55</v>
      </c>
      <c r="I1305" s="36" t="n">
        <f aca="false">INDEX(Inventory!$D$2:$D$17,MATCH(C1305,Inventory!$A$2:$A$17,0))</f>
        <v>0.45</v>
      </c>
      <c r="J1305" s="36" t="n">
        <f aca="false">F1305*I1305</f>
        <v>10.35</v>
      </c>
      <c r="K1305" s="36" t="n">
        <f aca="false">H1305-J1305</f>
        <v>9.2</v>
      </c>
    </row>
    <row r="1306" customFormat="false" ht="15" hidden="false" customHeight="false" outlineLevel="0" collapsed="false">
      <c r="A1306" s="41" t="n">
        <v>46285</v>
      </c>
      <c r="B1306" s="42" t="n">
        <f aca="false">DATE(YEAR(A1306),MONTH(A1306),1)</f>
        <v>46266</v>
      </c>
      <c r="C1306" s="3" t="s">
        <v>37</v>
      </c>
      <c r="D1306" s="3" t="s">
        <v>38</v>
      </c>
      <c r="E1306" s="3" t="s">
        <v>26</v>
      </c>
      <c r="F1306" s="3" t="n">
        <v>31</v>
      </c>
      <c r="G1306" s="36" t="n">
        <v>1.2</v>
      </c>
      <c r="H1306" s="36" t="n">
        <f aca="false">F1306*G1306</f>
        <v>37.2</v>
      </c>
      <c r="I1306" s="36" t="n">
        <f aca="false">INDEX(Inventory!$D$2:$D$17,MATCH(C1306,Inventory!$A$2:$A$17,0))</f>
        <v>0.85</v>
      </c>
      <c r="J1306" s="36" t="n">
        <f aca="false">F1306*I1306</f>
        <v>26.35</v>
      </c>
      <c r="K1306" s="36" t="n">
        <f aca="false">H1306-J1306</f>
        <v>10.85</v>
      </c>
    </row>
    <row r="1307" customFormat="false" ht="15" hidden="false" customHeight="false" outlineLevel="0" collapsed="false">
      <c r="A1307" s="41" t="n">
        <v>46285</v>
      </c>
      <c r="B1307" s="42" t="n">
        <f aca="false">DATE(YEAR(A1307),MONTH(A1307),1)</f>
        <v>46266</v>
      </c>
      <c r="C1307" s="3" t="s">
        <v>47</v>
      </c>
      <c r="D1307" s="3" t="s">
        <v>48</v>
      </c>
      <c r="E1307" s="3" t="s">
        <v>26</v>
      </c>
      <c r="F1307" s="3" t="n">
        <v>11</v>
      </c>
      <c r="G1307" s="36" t="n">
        <v>2.2</v>
      </c>
      <c r="H1307" s="36" t="n">
        <f aca="false">F1307*G1307</f>
        <v>24.2</v>
      </c>
      <c r="I1307" s="36" t="n">
        <f aca="false">INDEX(Inventory!$D$2:$D$17,MATCH(C1307,Inventory!$A$2:$A$17,0))</f>
        <v>1.4</v>
      </c>
      <c r="J1307" s="36" t="n">
        <f aca="false">F1307*I1307</f>
        <v>15.4</v>
      </c>
      <c r="K1307" s="36" t="n">
        <f aca="false">H1307-J1307</f>
        <v>8.8</v>
      </c>
    </row>
    <row r="1308" customFormat="false" ht="15" hidden="false" customHeight="false" outlineLevel="0" collapsed="false">
      <c r="A1308" s="41" t="n">
        <v>46285</v>
      </c>
      <c r="B1308" s="42" t="n">
        <f aca="false">DATE(YEAR(A1308),MONTH(A1308),1)</f>
        <v>46266</v>
      </c>
      <c r="C1308" s="3" t="s">
        <v>43</v>
      </c>
      <c r="D1308" s="3" t="s">
        <v>44</v>
      </c>
      <c r="E1308" s="3" t="s">
        <v>26</v>
      </c>
      <c r="F1308" s="3" t="n">
        <v>9</v>
      </c>
      <c r="G1308" s="36" t="n">
        <v>3.8</v>
      </c>
      <c r="H1308" s="36" t="n">
        <f aca="false">F1308*G1308</f>
        <v>34.2</v>
      </c>
      <c r="I1308" s="36" t="n">
        <f aca="false">INDEX(Inventory!$D$2:$D$17,MATCH(C1308,Inventory!$A$2:$A$17,0))</f>
        <v>2.6</v>
      </c>
      <c r="J1308" s="36" t="n">
        <f aca="false">F1308*I1308</f>
        <v>23.4</v>
      </c>
      <c r="K1308" s="36" t="n">
        <f aca="false">H1308-J1308</f>
        <v>10.8</v>
      </c>
    </row>
    <row r="1309" customFormat="false" ht="15" hidden="false" customHeight="false" outlineLevel="0" collapsed="false">
      <c r="A1309" s="41" t="n">
        <v>46285</v>
      </c>
      <c r="B1309" s="42" t="n">
        <f aca="false">DATE(YEAR(A1309),MONTH(A1309),1)</f>
        <v>46266</v>
      </c>
      <c r="C1309" s="3" t="s">
        <v>67</v>
      </c>
      <c r="D1309" s="3" t="s">
        <v>68</v>
      </c>
      <c r="E1309" s="3" t="s">
        <v>26</v>
      </c>
      <c r="F1309" s="3" t="n">
        <v>7</v>
      </c>
      <c r="G1309" s="36" t="n">
        <v>1.9</v>
      </c>
      <c r="H1309" s="36" t="n">
        <f aca="false">F1309*G1309</f>
        <v>13.3</v>
      </c>
      <c r="I1309" s="36" t="n">
        <f aca="false">INDEX(Inventory!$D$2:$D$17,MATCH(C1309,Inventory!$A$2:$A$17,0))</f>
        <v>1.3</v>
      </c>
      <c r="J1309" s="36" t="n">
        <f aca="false">F1309*I1309</f>
        <v>9.1</v>
      </c>
      <c r="K1309" s="36" t="n">
        <f aca="false">H1309-J1309</f>
        <v>4.2</v>
      </c>
    </row>
    <row r="1310" customFormat="false" ht="15" hidden="false" customHeight="false" outlineLevel="0" collapsed="false">
      <c r="A1310" s="41" t="n">
        <v>46285</v>
      </c>
      <c r="B1310" s="42" t="n">
        <f aca="false">DATE(YEAR(A1310),MONTH(A1310),1)</f>
        <v>46266</v>
      </c>
      <c r="C1310" s="3" t="s">
        <v>61</v>
      </c>
      <c r="D1310" s="3" t="s">
        <v>62</v>
      </c>
      <c r="E1310" s="3" t="s">
        <v>29</v>
      </c>
      <c r="F1310" s="3" t="n">
        <v>11</v>
      </c>
      <c r="G1310" s="36" t="n">
        <v>1.9</v>
      </c>
      <c r="H1310" s="36" t="n">
        <f aca="false">F1310*G1310</f>
        <v>20.9</v>
      </c>
      <c r="I1310" s="36" t="n">
        <f aca="false">INDEX(Inventory!$D$2:$D$17,MATCH(C1310,Inventory!$A$2:$A$17,0))</f>
        <v>1.1</v>
      </c>
      <c r="J1310" s="36" t="n">
        <f aca="false">F1310*I1310</f>
        <v>12.1</v>
      </c>
      <c r="K1310" s="36" t="n">
        <f aca="false">H1310-J1310</f>
        <v>8.8</v>
      </c>
    </row>
    <row r="1311" customFormat="false" ht="15" hidden="false" customHeight="false" outlineLevel="0" collapsed="false">
      <c r="A1311" s="41" t="n">
        <v>46285</v>
      </c>
      <c r="B1311" s="42" t="n">
        <f aca="false">DATE(YEAR(A1311),MONTH(A1311),1)</f>
        <v>46266</v>
      </c>
      <c r="C1311" s="3" t="s">
        <v>45</v>
      </c>
      <c r="D1311" s="3" t="s">
        <v>46</v>
      </c>
      <c r="E1311" s="3" t="s">
        <v>29</v>
      </c>
      <c r="F1311" s="3" t="n">
        <v>8</v>
      </c>
      <c r="G1311" s="36" t="n">
        <v>5.2</v>
      </c>
      <c r="H1311" s="36" t="n">
        <f aca="false">F1311*G1311</f>
        <v>41.6</v>
      </c>
      <c r="I1311" s="36" t="n">
        <f aca="false">INDEX(Inventory!$D$2:$D$17,MATCH(C1311,Inventory!$A$2:$A$17,0))</f>
        <v>3.5</v>
      </c>
      <c r="J1311" s="36" t="n">
        <f aca="false">F1311*I1311</f>
        <v>28</v>
      </c>
      <c r="K1311" s="36" t="n">
        <f aca="false">H1311-J1311</f>
        <v>13.6</v>
      </c>
    </row>
    <row r="1312" customFormat="false" ht="15" hidden="false" customHeight="false" outlineLevel="0" collapsed="false">
      <c r="A1312" s="41" t="n">
        <v>46285</v>
      </c>
      <c r="B1312" s="42" t="n">
        <f aca="false">DATE(YEAR(A1312),MONTH(A1312),1)</f>
        <v>46266</v>
      </c>
      <c r="C1312" s="3" t="s">
        <v>65</v>
      </c>
      <c r="D1312" s="3" t="s">
        <v>66</v>
      </c>
      <c r="E1312" s="3" t="s">
        <v>29</v>
      </c>
      <c r="F1312" s="3" t="n">
        <v>12</v>
      </c>
      <c r="G1312" s="36" t="n">
        <v>1.5</v>
      </c>
      <c r="H1312" s="36" t="n">
        <f aca="false">F1312*G1312</f>
        <v>18</v>
      </c>
      <c r="I1312" s="36" t="n">
        <f aca="false">INDEX(Inventory!$D$2:$D$17,MATCH(C1312,Inventory!$A$2:$A$17,0))</f>
        <v>0.9</v>
      </c>
      <c r="J1312" s="36" t="n">
        <f aca="false">F1312*I1312</f>
        <v>10.8</v>
      </c>
      <c r="K1312" s="36" t="n">
        <f aca="false">H1312-J1312</f>
        <v>7.2</v>
      </c>
    </row>
    <row r="1313" customFormat="false" ht="15" hidden="false" customHeight="false" outlineLevel="0" collapsed="false">
      <c r="A1313" s="41" t="n">
        <v>46285</v>
      </c>
      <c r="B1313" s="42" t="n">
        <f aca="false">DATE(YEAR(A1313),MONTH(A1313),1)</f>
        <v>46266</v>
      </c>
      <c r="C1313" s="3" t="s">
        <v>55</v>
      </c>
      <c r="D1313" s="3" t="s">
        <v>56</v>
      </c>
      <c r="E1313" s="3" t="s">
        <v>29</v>
      </c>
      <c r="F1313" s="3" t="n">
        <v>11</v>
      </c>
      <c r="G1313" s="36" t="n">
        <v>2.5</v>
      </c>
      <c r="H1313" s="36" t="n">
        <f aca="false">F1313*G1313</f>
        <v>27.5</v>
      </c>
      <c r="I1313" s="36" t="n">
        <f aca="false">INDEX(Inventory!$D$2:$D$17,MATCH(C1313,Inventory!$A$2:$A$17,0))</f>
        <v>1.6</v>
      </c>
      <c r="J1313" s="36" t="n">
        <f aca="false">F1313*I1313</f>
        <v>17.6</v>
      </c>
      <c r="K1313" s="36" t="n">
        <f aca="false">H1313-J1313</f>
        <v>9.9</v>
      </c>
    </row>
    <row r="1314" customFormat="false" ht="15" hidden="false" customHeight="false" outlineLevel="0" collapsed="false">
      <c r="A1314" s="41" t="n">
        <v>46286</v>
      </c>
      <c r="B1314" s="42" t="n">
        <f aca="false">DATE(YEAR(A1314),MONTH(A1314),1)</f>
        <v>46266</v>
      </c>
      <c r="C1314" s="3" t="s">
        <v>39</v>
      </c>
      <c r="D1314" s="3" t="s">
        <v>40</v>
      </c>
      <c r="E1314" s="3" t="s">
        <v>27</v>
      </c>
      <c r="F1314" s="3" t="n">
        <v>35</v>
      </c>
      <c r="G1314" s="36" t="n">
        <v>1</v>
      </c>
      <c r="H1314" s="36" t="n">
        <f aca="false">F1314*G1314</f>
        <v>35</v>
      </c>
      <c r="I1314" s="36" t="n">
        <f aca="false">INDEX(Inventory!$D$2:$D$17,MATCH(C1314,Inventory!$A$2:$A$17,0))</f>
        <v>0.6</v>
      </c>
      <c r="J1314" s="36" t="n">
        <f aca="false">F1314*I1314</f>
        <v>21</v>
      </c>
      <c r="K1314" s="36" t="n">
        <f aca="false">H1314-J1314</f>
        <v>14</v>
      </c>
    </row>
    <row r="1315" customFormat="false" ht="15" hidden="false" customHeight="false" outlineLevel="0" collapsed="false">
      <c r="A1315" s="41" t="n">
        <v>46286</v>
      </c>
      <c r="B1315" s="42" t="n">
        <f aca="false">DATE(YEAR(A1315),MONTH(A1315),1)</f>
        <v>46266</v>
      </c>
      <c r="C1315" s="3" t="s">
        <v>53</v>
      </c>
      <c r="D1315" s="3" t="s">
        <v>54</v>
      </c>
      <c r="E1315" s="3" t="s">
        <v>27</v>
      </c>
      <c r="F1315" s="3" t="n">
        <v>18</v>
      </c>
      <c r="G1315" s="36" t="n">
        <v>0.95</v>
      </c>
      <c r="H1315" s="36" t="n">
        <f aca="false">F1315*G1315</f>
        <v>17.1</v>
      </c>
      <c r="I1315" s="36" t="n">
        <f aca="false">INDEX(Inventory!$D$2:$D$17,MATCH(C1315,Inventory!$A$2:$A$17,0))</f>
        <v>0.55</v>
      </c>
      <c r="J1315" s="36" t="n">
        <f aca="false">F1315*I1315</f>
        <v>9.9</v>
      </c>
      <c r="K1315" s="36" t="n">
        <f aca="false">H1315-J1315</f>
        <v>7.2</v>
      </c>
    </row>
    <row r="1316" customFormat="false" ht="15" hidden="false" customHeight="false" outlineLevel="0" collapsed="false">
      <c r="A1316" s="41" t="n">
        <v>46286</v>
      </c>
      <c r="B1316" s="42" t="n">
        <f aca="false">DATE(YEAR(A1316),MONTH(A1316),1)</f>
        <v>46266</v>
      </c>
      <c r="C1316" s="3" t="s">
        <v>59</v>
      </c>
      <c r="D1316" s="3" t="s">
        <v>60</v>
      </c>
      <c r="E1316" s="3" t="s">
        <v>27</v>
      </c>
      <c r="F1316" s="3" t="n">
        <v>33</v>
      </c>
      <c r="G1316" s="36" t="n">
        <v>0.6</v>
      </c>
      <c r="H1316" s="36" t="n">
        <f aca="false">F1316*G1316</f>
        <v>19.8</v>
      </c>
      <c r="I1316" s="36" t="n">
        <f aca="false">INDEX(Inventory!$D$2:$D$17,MATCH(C1316,Inventory!$A$2:$A$17,0))</f>
        <v>0.3</v>
      </c>
      <c r="J1316" s="36" t="n">
        <f aca="false">F1316*I1316</f>
        <v>9.9</v>
      </c>
      <c r="K1316" s="36" t="n">
        <f aca="false">H1316-J1316</f>
        <v>9.9</v>
      </c>
    </row>
    <row r="1317" customFormat="false" ht="15" hidden="false" customHeight="false" outlineLevel="0" collapsed="false">
      <c r="A1317" s="41" t="n">
        <v>46286</v>
      </c>
      <c r="B1317" s="42" t="n">
        <f aca="false">DATE(YEAR(A1317),MONTH(A1317),1)</f>
        <v>46266</v>
      </c>
      <c r="C1317" s="3" t="s">
        <v>57</v>
      </c>
      <c r="D1317" s="3" t="s">
        <v>58</v>
      </c>
      <c r="E1317" s="3" t="s">
        <v>27</v>
      </c>
      <c r="F1317" s="3" t="n">
        <v>15</v>
      </c>
      <c r="G1317" s="36" t="n">
        <v>1.5</v>
      </c>
      <c r="H1317" s="36" t="n">
        <f aca="false">F1317*G1317</f>
        <v>22.5</v>
      </c>
      <c r="I1317" s="36" t="n">
        <f aca="false">INDEX(Inventory!$D$2:$D$17,MATCH(C1317,Inventory!$A$2:$A$17,0))</f>
        <v>0.9</v>
      </c>
      <c r="J1317" s="36" t="n">
        <f aca="false">F1317*I1317</f>
        <v>13.5</v>
      </c>
      <c r="K1317" s="36" t="n">
        <f aca="false">H1317-J1317</f>
        <v>9</v>
      </c>
    </row>
    <row r="1318" customFormat="false" ht="15" hidden="false" customHeight="false" outlineLevel="0" collapsed="false">
      <c r="A1318" s="41" t="n">
        <v>46286</v>
      </c>
      <c r="B1318" s="42" t="n">
        <f aca="false">DATE(YEAR(A1318),MONTH(A1318),1)</f>
        <v>46266</v>
      </c>
      <c r="C1318" s="3" t="s">
        <v>41</v>
      </c>
      <c r="D1318" s="3" t="s">
        <v>42</v>
      </c>
      <c r="E1318" s="3" t="s">
        <v>28</v>
      </c>
      <c r="F1318" s="3" t="n">
        <v>30</v>
      </c>
      <c r="G1318" s="36" t="n">
        <v>1.3</v>
      </c>
      <c r="H1318" s="36" t="n">
        <f aca="false">F1318*G1318</f>
        <v>39</v>
      </c>
      <c r="I1318" s="36" t="n">
        <f aca="false">INDEX(Inventory!$D$2:$D$17,MATCH(C1318,Inventory!$A$2:$A$17,0))</f>
        <v>0.8</v>
      </c>
      <c r="J1318" s="36" t="n">
        <f aca="false">F1318*I1318</f>
        <v>24</v>
      </c>
      <c r="K1318" s="36" t="n">
        <f aca="false">H1318-J1318</f>
        <v>15</v>
      </c>
    </row>
    <row r="1319" customFormat="false" ht="15" hidden="false" customHeight="false" outlineLevel="0" collapsed="false">
      <c r="A1319" s="41" t="n">
        <v>46286</v>
      </c>
      <c r="B1319" s="42" t="n">
        <f aca="false">DATE(YEAR(A1319),MONTH(A1319),1)</f>
        <v>46266</v>
      </c>
      <c r="C1319" s="3" t="s">
        <v>63</v>
      </c>
      <c r="D1319" s="3" t="s">
        <v>64</v>
      </c>
      <c r="E1319" s="3" t="s">
        <v>28</v>
      </c>
      <c r="F1319" s="3" t="n">
        <v>18</v>
      </c>
      <c r="G1319" s="36" t="n">
        <v>0.9</v>
      </c>
      <c r="H1319" s="36" t="n">
        <f aca="false">F1319*G1319</f>
        <v>16.2</v>
      </c>
      <c r="I1319" s="36" t="n">
        <f aca="false">INDEX(Inventory!$D$2:$D$17,MATCH(C1319,Inventory!$A$2:$A$17,0))</f>
        <v>0.5</v>
      </c>
      <c r="J1319" s="36" t="n">
        <f aca="false">F1319*I1319</f>
        <v>9</v>
      </c>
      <c r="K1319" s="36" t="n">
        <f aca="false">H1319-J1319</f>
        <v>7.2</v>
      </c>
    </row>
    <row r="1320" customFormat="false" ht="15" hidden="false" customHeight="false" outlineLevel="0" collapsed="false">
      <c r="A1320" s="41" t="n">
        <v>46286</v>
      </c>
      <c r="B1320" s="42" t="n">
        <f aca="false">DATE(YEAR(A1320),MONTH(A1320),1)</f>
        <v>46266</v>
      </c>
      <c r="C1320" s="3" t="s">
        <v>49</v>
      </c>
      <c r="D1320" s="3" t="s">
        <v>50</v>
      </c>
      <c r="E1320" s="3" t="s">
        <v>28</v>
      </c>
      <c r="F1320" s="3" t="n">
        <v>23</v>
      </c>
      <c r="G1320" s="36" t="n">
        <v>1.2</v>
      </c>
      <c r="H1320" s="36" t="n">
        <f aca="false">F1320*G1320</f>
        <v>27.6</v>
      </c>
      <c r="I1320" s="36" t="n">
        <f aca="false">INDEX(Inventory!$D$2:$D$17,MATCH(C1320,Inventory!$A$2:$A$17,0))</f>
        <v>0.7</v>
      </c>
      <c r="J1320" s="36" t="n">
        <f aca="false">F1320*I1320</f>
        <v>16.1</v>
      </c>
      <c r="K1320" s="36" t="n">
        <f aca="false">H1320-J1320</f>
        <v>11.5</v>
      </c>
    </row>
    <row r="1321" customFormat="false" ht="15" hidden="false" customHeight="false" outlineLevel="0" collapsed="false">
      <c r="A1321" s="41" t="n">
        <v>46286</v>
      </c>
      <c r="B1321" s="42" t="n">
        <f aca="false">DATE(YEAR(A1321),MONTH(A1321),1)</f>
        <v>46266</v>
      </c>
      <c r="C1321" s="3" t="s">
        <v>51</v>
      </c>
      <c r="D1321" s="3" t="s">
        <v>52</v>
      </c>
      <c r="E1321" s="3" t="s">
        <v>28</v>
      </c>
      <c r="F1321" s="3" t="n">
        <v>29</v>
      </c>
      <c r="G1321" s="36" t="n">
        <v>0.85</v>
      </c>
      <c r="H1321" s="36" t="n">
        <f aca="false">F1321*G1321</f>
        <v>24.65</v>
      </c>
      <c r="I1321" s="36" t="n">
        <f aca="false">INDEX(Inventory!$D$2:$D$17,MATCH(C1321,Inventory!$A$2:$A$17,0))</f>
        <v>0.45</v>
      </c>
      <c r="J1321" s="36" t="n">
        <f aca="false">F1321*I1321</f>
        <v>13.05</v>
      </c>
      <c r="K1321" s="36" t="n">
        <f aca="false">H1321-J1321</f>
        <v>11.6</v>
      </c>
    </row>
    <row r="1322" customFormat="false" ht="15" hidden="false" customHeight="false" outlineLevel="0" collapsed="false">
      <c r="A1322" s="41" t="n">
        <v>46286</v>
      </c>
      <c r="B1322" s="42" t="n">
        <f aca="false">DATE(YEAR(A1322),MONTH(A1322),1)</f>
        <v>46266</v>
      </c>
      <c r="C1322" s="3" t="s">
        <v>37</v>
      </c>
      <c r="D1322" s="3" t="s">
        <v>38</v>
      </c>
      <c r="E1322" s="3" t="s">
        <v>26</v>
      </c>
      <c r="F1322" s="3" t="n">
        <v>32</v>
      </c>
      <c r="G1322" s="36" t="n">
        <v>1.2</v>
      </c>
      <c r="H1322" s="36" t="n">
        <f aca="false">F1322*G1322</f>
        <v>38.4</v>
      </c>
      <c r="I1322" s="36" t="n">
        <f aca="false">INDEX(Inventory!$D$2:$D$17,MATCH(C1322,Inventory!$A$2:$A$17,0))</f>
        <v>0.85</v>
      </c>
      <c r="J1322" s="36" t="n">
        <f aca="false">F1322*I1322</f>
        <v>27.2</v>
      </c>
      <c r="K1322" s="36" t="n">
        <f aca="false">H1322-J1322</f>
        <v>11.2</v>
      </c>
    </row>
    <row r="1323" customFormat="false" ht="15" hidden="false" customHeight="false" outlineLevel="0" collapsed="false">
      <c r="A1323" s="41" t="n">
        <v>46286</v>
      </c>
      <c r="B1323" s="42" t="n">
        <f aca="false">DATE(YEAR(A1323),MONTH(A1323),1)</f>
        <v>46266</v>
      </c>
      <c r="C1323" s="3" t="s">
        <v>47</v>
      </c>
      <c r="D1323" s="3" t="s">
        <v>48</v>
      </c>
      <c r="E1323" s="3" t="s">
        <v>26</v>
      </c>
      <c r="F1323" s="3" t="n">
        <v>6</v>
      </c>
      <c r="G1323" s="36" t="n">
        <v>2.2</v>
      </c>
      <c r="H1323" s="36" t="n">
        <f aca="false">F1323*G1323</f>
        <v>13.2</v>
      </c>
      <c r="I1323" s="36" t="n">
        <f aca="false">INDEX(Inventory!$D$2:$D$17,MATCH(C1323,Inventory!$A$2:$A$17,0))</f>
        <v>1.4</v>
      </c>
      <c r="J1323" s="36" t="n">
        <f aca="false">F1323*I1323</f>
        <v>8.4</v>
      </c>
      <c r="K1323" s="36" t="n">
        <f aca="false">H1323-J1323</f>
        <v>4.8</v>
      </c>
    </row>
    <row r="1324" customFormat="false" ht="15" hidden="false" customHeight="false" outlineLevel="0" collapsed="false">
      <c r="A1324" s="41" t="n">
        <v>46286</v>
      </c>
      <c r="B1324" s="42" t="n">
        <f aca="false">DATE(YEAR(A1324),MONTH(A1324),1)</f>
        <v>46266</v>
      </c>
      <c r="C1324" s="3" t="s">
        <v>43</v>
      </c>
      <c r="D1324" s="3" t="s">
        <v>44</v>
      </c>
      <c r="E1324" s="3" t="s">
        <v>26</v>
      </c>
      <c r="F1324" s="3" t="n">
        <v>9</v>
      </c>
      <c r="G1324" s="36" t="n">
        <v>3.8</v>
      </c>
      <c r="H1324" s="36" t="n">
        <f aca="false">F1324*G1324</f>
        <v>34.2</v>
      </c>
      <c r="I1324" s="36" t="n">
        <f aca="false">INDEX(Inventory!$D$2:$D$17,MATCH(C1324,Inventory!$A$2:$A$17,0))</f>
        <v>2.6</v>
      </c>
      <c r="J1324" s="36" t="n">
        <f aca="false">F1324*I1324</f>
        <v>23.4</v>
      </c>
      <c r="K1324" s="36" t="n">
        <f aca="false">H1324-J1324</f>
        <v>10.8</v>
      </c>
    </row>
    <row r="1325" customFormat="false" ht="15" hidden="false" customHeight="false" outlineLevel="0" collapsed="false">
      <c r="A1325" s="41" t="n">
        <v>46286</v>
      </c>
      <c r="B1325" s="42" t="n">
        <f aca="false">DATE(YEAR(A1325),MONTH(A1325),1)</f>
        <v>46266</v>
      </c>
      <c r="C1325" s="3" t="s">
        <v>67</v>
      </c>
      <c r="D1325" s="3" t="s">
        <v>68</v>
      </c>
      <c r="E1325" s="3" t="s">
        <v>26</v>
      </c>
      <c r="F1325" s="3" t="n">
        <v>7</v>
      </c>
      <c r="G1325" s="36" t="n">
        <v>1.9</v>
      </c>
      <c r="H1325" s="36" t="n">
        <f aca="false">F1325*G1325</f>
        <v>13.3</v>
      </c>
      <c r="I1325" s="36" t="n">
        <f aca="false">INDEX(Inventory!$D$2:$D$17,MATCH(C1325,Inventory!$A$2:$A$17,0))</f>
        <v>1.3</v>
      </c>
      <c r="J1325" s="36" t="n">
        <f aca="false">F1325*I1325</f>
        <v>9.1</v>
      </c>
      <c r="K1325" s="36" t="n">
        <f aca="false">H1325-J1325</f>
        <v>4.2</v>
      </c>
    </row>
    <row r="1326" customFormat="false" ht="15" hidden="false" customHeight="false" outlineLevel="0" collapsed="false">
      <c r="A1326" s="41" t="n">
        <v>46286</v>
      </c>
      <c r="B1326" s="42" t="n">
        <f aca="false">DATE(YEAR(A1326),MONTH(A1326),1)</f>
        <v>46266</v>
      </c>
      <c r="C1326" s="3" t="s">
        <v>61</v>
      </c>
      <c r="D1326" s="3" t="s">
        <v>62</v>
      </c>
      <c r="E1326" s="3" t="s">
        <v>29</v>
      </c>
      <c r="F1326" s="3" t="n">
        <v>10</v>
      </c>
      <c r="G1326" s="36" t="n">
        <v>1.9</v>
      </c>
      <c r="H1326" s="36" t="n">
        <f aca="false">F1326*G1326</f>
        <v>19</v>
      </c>
      <c r="I1326" s="36" t="n">
        <f aca="false">INDEX(Inventory!$D$2:$D$17,MATCH(C1326,Inventory!$A$2:$A$17,0))</f>
        <v>1.1</v>
      </c>
      <c r="J1326" s="36" t="n">
        <f aca="false">F1326*I1326</f>
        <v>11</v>
      </c>
      <c r="K1326" s="36" t="n">
        <f aca="false">H1326-J1326</f>
        <v>8</v>
      </c>
    </row>
    <row r="1327" customFormat="false" ht="15" hidden="false" customHeight="false" outlineLevel="0" collapsed="false">
      <c r="A1327" s="41" t="n">
        <v>46286</v>
      </c>
      <c r="B1327" s="42" t="n">
        <f aca="false">DATE(YEAR(A1327),MONTH(A1327),1)</f>
        <v>46266</v>
      </c>
      <c r="C1327" s="3" t="s">
        <v>45</v>
      </c>
      <c r="D1327" s="3" t="s">
        <v>46</v>
      </c>
      <c r="E1327" s="3" t="s">
        <v>29</v>
      </c>
      <c r="F1327" s="3" t="n">
        <v>5</v>
      </c>
      <c r="G1327" s="36" t="n">
        <v>5.2</v>
      </c>
      <c r="H1327" s="36" t="n">
        <f aca="false">F1327*G1327</f>
        <v>26</v>
      </c>
      <c r="I1327" s="36" t="n">
        <f aca="false">INDEX(Inventory!$D$2:$D$17,MATCH(C1327,Inventory!$A$2:$A$17,0))</f>
        <v>3.5</v>
      </c>
      <c r="J1327" s="36" t="n">
        <f aca="false">F1327*I1327</f>
        <v>17.5</v>
      </c>
      <c r="K1327" s="36" t="n">
        <f aca="false">H1327-J1327</f>
        <v>8.5</v>
      </c>
    </row>
    <row r="1328" customFormat="false" ht="15" hidden="false" customHeight="false" outlineLevel="0" collapsed="false">
      <c r="A1328" s="41" t="n">
        <v>46286</v>
      </c>
      <c r="B1328" s="42" t="n">
        <f aca="false">DATE(YEAR(A1328),MONTH(A1328),1)</f>
        <v>46266</v>
      </c>
      <c r="C1328" s="3" t="s">
        <v>65</v>
      </c>
      <c r="D1328" s="3" t="s">
        <v>66</v>
      </c>
      <c r="E1328" s="3" t="s">
        <v>29</v>
      </c>
      <c r="F1328" s="3" t="n">
        <v>8</v>
      </c>
      <c r="G1328" s="36" t="n">
        <v>1.5</v>
      </c>
      <c r="H1328" s="36" t="n">
        <f aca="false">F1328*G1328</f>
        <v>12</v>
      </c>
      <c r="I1328" s="36" t="n">
        <f aca="false">INDEX(Inventory!$D$2:$D$17,MATCH(C1328,Inventory!$A$2:$A$17,0))</f>
        <v>0.9</v>
      </c>
      <c r="J1328" s="36" t="n">
        <f aca="false">F1328*I1328</f>
        <v>7.2</v>
      </c>
      <c r="K1328" s="36" t="n">
        <f aca="false">H1328-J1328</f>
        <v>4.8</v>
      </c>
    </row>
    <row r="1329" customFormat="false" ht="15" hidden="false" customHeight="false" outlineLevel="0" collapsed="false">
      <c r="A1329" s="41" t="n">
        <v>46286</v>
      </c>
      <c r="B1329" s="42" t="n">
        <f aca="false">DATE(YEAR(A1329),MONTH(A1329),1)</f>
        <v>46266</v>
      </c>
      <c r="C1329" s="3" t="s">
        <v>55</v>
      </c>
      <c r="D1329" s="3" t="s">
        <v>56</v>
      </c>
      <c r="E1329" s="3" t="s">
        <v>29</v>
      </c>
      <c r="F1329" s="3" t="n">
        <v>8</v>
      </c>
      <c r="G1329" s="36" t="n">
        <v>2.5</v>
      </c>
      <c r="H1329" s="36" t="n">
        <f aca="false">F1329*G1329</f>
        <v>20</v>
      </c>
      <c r="I1329" s="36" t="n">
        <f aca="false">INDEX(Inventory!$D$2:$D$17,MATCH(C1329,Inventory!$A$2:$A$17,0))</f>
        <v>1.6</v>
      </c>
      <c r="J1329" s="36" t="n">
        <f aca="false">F1329*I1329</f>
        <v>12.8</v>
      </c>
      <c r="K1329" s="36" t="n">
        <f aca="false">H1329-J1329</f>
        <v>7.2</v>
      </c>
    </row>
    <row r="1330" customFormat="false" ht="15" hidden="false" customHeight="false" outlineLevel="0" collapsed="false">
      <c r="A1330" s="41" t="n">
        <v>46287</v>
      </c>
      <c r="B1330" s="42" t="n">
        <f aca="false">DATE(YEAR(A1330),MONTH(A1330),1)</f>
        <v>46266</v>
      </c>
      <c r="C1330" s="3" t="s">
        <v>39</v>
      </c>
      <c r="D1330" s="3" t="s">
        <v>40</v>
      </c>
      <c r="E1330" s="3" t="s">
        <v>27</v>
      </c>
      <c r="F1330" s="3" t="n">
        <v>34</v>
      </c>
      <c r="G1330" s="36" t="n">
        <v>1</v>
      </c>
      <c r="H1330" s="36" t="n">
        <f aca="false">F1330*G1330</f>
        <v>34</v>
      </c>
      <c r="I1330" s="36" t="n">
        <f aca="false">INDEX(Inventory!$D$2:$D$17,MATCH(C1330,Inventory!$A$2:$A$17,0))</f>
        <v>0.6</v>
      </c>
      <c r="J1330" s="36" t="n">
        <f aca="false">F1330*I1330</f>
        <v>20.4</v>
      </c>
      <c r="K1330" s="36" t="n">
        <f aca="false">H1330-J1330</f>
        <v>13.6</v>
      </c>
    </row>
    <row r="1331" customFormat="false" ht="15" hidden="false" customHeight="false" outlineLevel="0" collapsed="false">
      <c r="A1331" s="41" t="n">
        <v>46287</v>
      </c>
      <c r="B1331" s="42" t="n">
        <f aca="false">DATE(YEAR(A1331),MONTH(A1331),1)</f>
        <v>46266</v>
      </c>
      <c r="C1331" s="3" t="s">
        <v>53</v>
      </c>
      <c r="D1331" s="3" t="s">
        <v>54</v>
      </c>
      <c r="E1331" s="3" t="s">
        <v>27</v>
      </c>
      <c r="F1331" s="3" t="n">
        <v>13</v>
      </c>
      <c r="G1331" s="36" t="n">
        <v>0.95</v>
      </c>
      <c r="H1331" s="36" t="n">
        <f aca="false">F1331*G1331</f>
        <v>12.35</v>
      </c>
      <c r="I1331" s="36" t="n">
        <f aca="false">INDEX(Inventory!$D$2:$D$17,MATCH(C1331,Inventory!$A$2:$A$17,0))</f>
        <v>0.55</v>
      </c>
      <c r="J1331" s="36" t="n">
        <f aca="false">F1331*I1331</f>
        <v>7.15</v>
      </c>
      <c r="K1331" s="36" t="n">
        <f aca="false">H1331-J1331</f>
        <v>5.2</v>
      </c>
    </row>
    <row r="1332" customFormat="false" ht="15" hidden="false" customHeight="false" outlineLevel="0" collapsed="false">
      <c r="A1332" s="41" t="n">
        <v>46287</v>
      </c>
      <c r="B1332" s="42" t="n">
        <f aca="false">DATE(YEAR(A1332),MONTH(A1332),1)</f>
        <v>46266</v>
      </c>
      <c r="C1332" s="3" t="s">
        <v>59</v>
      </c>
      <c r="D1332" s="3" t="s">
        <v>60</v>
      </c>
      <c r="E1332" s="3" t="s">
        <v>27</v>
      </c>
      <c r="F1332" s="3" t="n">
        <v>34</v>
      </c>
      <c r="G1332" s="36" t="n">
        <v>0.6</v>
      </c>
      <c r="H1332" s="36" t="n">
        <f aca="false">F1332*G1332</f>
        <v>20.4</v>
      </c>
      <c r="I1332" s="36" t="n">
        <f aca="false">INDEX(Inventory!$D$2:$D$17,MATCH(C1332,Inventory!$A$2:$A$17,0))</f>
        <v>0.3</v>
      </c>
      <c r="J1332" s="36" t="n">
        <f aca="false">F1332*I1332</f>
        <v>10.2</v>
      </c>
      <c r="K1332" s="36" t="n">
        <f aca="false">H1332-J1332</f>
        <v>10.2</v>
      </c>
    </row>
    <row r="1333" customFormat="false" ht="15" hidden="false" customHeight="false" outlineLevel="0" collapsed="false">
      <c r="A1333" s="41" t="n">
        <v>46287</v>
      </c>
      <c r="B1333" s="42" t="n">
        <f aca="false">DATE(YEAR(A1333),MONTH(A1333),1)</f>
        <v>46266</v>
      </c>
      <c r="C1333" s="3" t="s">
        <v>57</v>
      </c>
      <c r="D1333" s="3" t="s">
        <v>58</v>
      </c>
      <c r="E1333" s="3" t="s">
        <v>27</v>
      </c>
      <c r="F1333" s="3" t="n">
        <v>11</v>
      </c>
      <c r="G1333" s="36" t="n">
        <v>1.5</v>
      </c>
      <c r="H1333" s="36" t="n">
        <f aca="false">F1333*G1333</f>
        <v>16.5</v>
      </c>
      <c r="I1333" s="36" t="n">
        <f aca="false">INDEX(Inventory!$D$2:$D$17,MATCH(C1333,Inventory!$A$2:$A$17,0))</f>
        <v>0.9</v>
      </c>
      <c r="J1333" s="36" t="n">
        <f aca="false">F1333*I1333</f>
        <v>9.9</v>
      </c>
      <c r="K1333" s="36" t="n">
        <f aca="false">H1333-J1333</f>
        <v>6.6</v>
      </c>
    </row>
    <row r="1334" customFormat="false" ht="15" hidden="false" customHeight="false" outlineLevel="0" collapsed="false">
      <c r="A1334" s="41" t="n">
        <v>46287</v>
      </c>
      <c r="B1334" s="42" t="n">
        <f aca="false">DATE(YEAR(A1334),MONTH(A1334),1)</f>
        <v>46266</v>
      </c>
      <c r="C1334" s="3" t="s">
        <v>41</v>
      </c>
      <c r="D1334" s="3" t="s">
        <v>42</v>
      </c>
      <c r="E1334" s="3" t="s">
        <v>28</v>
      </c>
      <c r="F1334" s="3" t="n">
        <v>17</v>
      </c>
      <c r="G1334" s="36" t="n">
        <v>1.3</v>
      </c>
      <c r="H1334" s="36" t="n">
        <f aca="false">F1334*G1334</f>
        <v>22.1</v>
      </c>
      <c r="I1334" s="36" t="n">
        <f aca="false">INDEX(Inventory!$D$2:$D$17,MATCH(C1334,Inventory!$A$2:$A$17,0))</f>
        <v>0.8</v>
      </c>
      <c r="J1334" s="36" t="n">
        <f aca="false">F1334*I1334</f>
        <v>13.6</v>
      </c>
      <c r="K1334" s="36" t="n">
        <f aca="false">H1334-J1334</f>
        <v>8.5</v>
      </c>
    </row>
    <row r="1335" customFormat="false" ht="15" hidden="false" customHeight="false" outlineLevel="0" collapsed="false">
      <c r="A1335" s="41" t="n">
        <v>46287</v>
      </c>
      <c r="B1335" s="42" t="n">
        <f aca="false">DATE(YEAR(A1335),MONTH(A1335),1)</f>
        <v>46266</v>
      </c>
      <c r="C1335" s="3" t="s">
        <v>63</v>
      </c>
      <c r="D1335" s="3" t="s">
        <v>64</v>
      </c>
      <c r="E1335" s="3" t="s">
        <v>28</v>
      </c>
      <c r="F1335" s="3" t="n">
        <v>16</v>
      </c>
      <c r="G1335" s="36" t="n">
        <v>0.9</v>
      </c>
      <c r="H1335" s="36" t="n">
        <f aca="false">F1335*G1335</f>
        <v>14.4</v>
      </c>
      <c r="I1335" s="36" t="n">
        <f aca="false">INDEX(Inventory!$D$2:$D$17,MATCH(C1335,Inventory!$A$2:$A$17,0))</f>
        <v>0.5</v>
      </c>
      <c r="J1335" s="36" t="n">
        <f aca="false">F1335*I1335</f>
        <v>8</v>
      </c>
      <c r="K1335" s="36" t="n">
        <f aca="false">H1335-J1335</f>
        <v>6.4</v>
      </c>
    </row>
    <row r="1336" customFormat="false" ht="15" hidden="false" customHeight="false" outlineLevel="0" collapsed="false">
      <c r="A1336" s="41" t="n">
        <v>46287</v>
      </c>
      <c r="B1336" s="42" t="n">
        <f aca="false">DATE(YEAR(A1336),MONTH(A1336),1)</f>
        <v>46266</v>
      </c>
      <c r="C1336" s="3" t="s">
        <v>49</v>
      </c>
      <c r="D1336" s="3" t="s">
        <v>50</v>
      </c>
      <c r="E1336" s="3" t="s">
        <v>28</v>
      </c>
      <c r="F1336" s="3" t="n">
        <v>16</v>
      </c>
      <c r="G1336" s="36" t="n">
        <v>1.2</v>
      </c>
      <c r="H1336" s="36" t="n">
        <f aca="false">F1336*G1336</f>
        <v>19.2</v>
      </c>
      <c r="I1336" s="36" t="n">
        <f aca="false">INDEX(Inventory!$D$2:$D$17,MATCH(C1336,Inventory!$A$2:$A$17,0))</f>
        <v>0.7</v>
      </c>
      <c r="J1336" s="36" t="n">
        <f aca="false">F1336*I1336</f>
        <v>11.2</v>
      </c>
      <c r="K1336" s="36" t="n">
        <f aca="false">H1336-J1336</f>
        <v>8</v>
      </c>
    </row>
    <row r="1337" customFormat="false" ht="15" hidden="false" customHeight="false" outlineLevel="0" collapsed="false">
      <c r="A1337" s="41" t="n">
        <v>46287</v>
      </c>
      <c r="B1337" s="42" t="n">
        <f aca="false">DATE(YEAR(A1337),MONTH(A1337),1)</f>
        <v>46266</v>
      </c>
      <c r="C1337" s="3" t="s">
        <v>51</v>
      </c>
      <c r="D1337" s="3" t="s">
        <v>52</v>
      </c>
      <c r="E1337" s="3" t="s">
        <v>28</v>
      </c>
      <c r="F1337" s="3" t="n">
        <v>20</v>
      </c>
      <c r="G1337" s="36" t="n">
        <v>0.85</v>
      </c>
      <c r="H1337" s="36" t="n">
        <f aca="false">F1337*G1337</f>
        <v>17</v>
      </c>
      <c r="I1337" s="36" t="n">
        <f aca="false">INDEX(Inventory!$D$2:$D$17,MATCH(C1337,Inventory!$A$2:$A$17,0))</f>
        <v>0.45</v>
      </c>
      <c r="J1337" s="36" t="n">
        <f aca="false">F1337*I1337</f>
        <v>9</v>
      </c>
      <c r="K1337" s="36" t="n">
        <f aca="false">H1337-J1337</f>
        <v>8</v>
      </c>
    </row>
    <row r="1338" customFormat="false" ht="15" hidden="false" customHeight="false" outlineLevel="0" collapsed="false">
      <c r="A1338" s="41" t="n">
        <v>46287</v>
      </c>
      <c r="B1338" s="42" t="n">
        <f aca="false">DATE(YEAR(A1338),MONTH(A1338),1)</f>
        <v>46266</v>
      </c>
      <c r="C1338" s="3" t="s">
        <v>37</v>
      </c>
      <c r="D1338" s="3" t="s">
        <v>38</v>
      </c>
      <c r="E1338" s="3" t="s">
        <v>26</v>
      </c>
      <c r="F1338" s="3" t="n">
        <v>21</v>
      </c>
      <c r="G1338" s="36" t="n">
        <v>1.2</v>
      </c>
      <c r="H1338" s="36" t="n">
        <f aca="false">F1338*G1338</f>
        <v>25.2</v>
      </c>
      <c r="I1338" s="36" t="n">
        <f aca="false">INDEX(Inventory!$D$2:$D$17,MATCH(C1338,Inventory!$A$2:$A$17,0))</f>
        <v>0.85</v>
      </c>
      <c r="J1338" s="36" t="n">
        <f aca="false">F1338*I1338</f>
        <v>17.85</v>
      </c>
      <c r="K1338" s="36" t="n">
        <f aca="false">H1338-J1338</f>
        <v>7.35</v>
      </c>
    </row>
    <row r="1339" customFormat="false" ht="15" hidden="false" customHeight="false" outlineLevel="0" collapsed="false">
      <c r="A1339" s="41" t="n">
        <v>46287</v>
      </c>
      <c r="B1339" s="42" t="n">
        <f aca="false">DATE(YEAR(A1339),MONTH(A1339),1)</f>
        <v>46266</v>
      </c>
      <c r="C1339" s="3" t="s">
        <v>47</v>
      </c>
      <c r="D1339" s="3" t="s">
        <v>48</v>
      </c>
      <c r="E1339" s="3" t="s">
        <v>26</v>
      </c>
      <c r="F1339" s="3" t="n">
        <v>12</v>
      </c>
      <c r="G1339" s="36" t="n">
        <v>2.2</v>
      </c>
      <c r="H1339" s="36" t="n">
        <f aca="false">F1339*G1339</f>
        <v>26.4</v>
      </c>
      <c r="I1339" s="36" t="n">
        <f aca="false">INDEX(Inventory!$D$2:$D$17,MATCH(C1339,Inventory!$A$2:$A$17,0))</f>
        <v>1.4</v>
      </c>
      <c r="J1339" s="36" t="n">
        <f aca="false">F1339*I1339</f>
        <v>16.8</v>
      </c>
      <c r="K1339" s="36" t="n">
        <f aca="false">H1339-J1339</f>
        <v>9.60000000000001</v>
      </c>
    </row>
    <row r="1340" customFormat="false" ht="15" hidden="false" customHeight="false" outlineLevel="0" collapsed="false">
      <c r="A1340" s="41" t="n">
        <v>46287</v>
      </c>
      <c r="B1340" s="42" t="n">
        <f aca="false">DATE(YEAR(A1340),MONTH(A1340),1)</f>
        <v>46266</v>
      </c>
      <c r="C1340" s="3" t="s">
        <v>43</v>
      </c>
      <c r="D1340" s="3" t="s">
        <v>44</v>
      </c>
      <c r="E1340" s="3" t="s">
        <v>26</v>
      </c>
      <c r="F1340" s="3" t="n">
        <v>8</v>
      </c>
      <c r="G1340" s="36" t="n">
        <v>3.8</v>
      </c>
      <c r="H1340" s="36" t="n">
        <f aca="false">F1340*G1340</f>
        <v>30.4</v>
      </c>
      <c r="I1340" s="36" t="n">
        <f aca="false">INDEX(Inventory!$D$2:$D$17,MATCH(C1340,Inventory!$A$2:$A$17,0))</f>
        <v>2.6</v>
      </c>
      <c r="J1340" s="36" t="n">
        <f aca="false">F1340*I1340</f>
        <v>20.8</v>
      </c>
      <c r="K1340" s="36" t="n">
        <f aca="false">H1340-J1340</f>
        <v>9.6</v>
      </c>
    </row>
    <row r="1341" customFormat="false" ht="15" hidden="false" customHeight="false" outlineLevel="0" collapsed="false">
      <c r="A1341" s="41" t="n">
        <v>46287</v>
      </c>
      <c r="B1341" s="42" t="n">
        <f aca="false">DATE(YEAR(A1341),MONTH(A1341),1)</f>
        <v>46266</v>
      </c>
      <c r="C1341" s="3" t="s">
        <v>67</v>
      </c>
      <c r="D1341" s="3" t="s">
        <v>68</v>
      </c>
      <c r="E1341" s="3" t="s">
        <v>26</v>
      </c>
      <c r="F1341" s="3" t="n">
        <v>5</v>
      </c>
      <c r="G1341" s="36" t="n">
        <v>1.9</v>
      </c>
      <c r="H1341" s="36" t="n">
        <f aca="false">F1341*G1341</f>
        <v>9.5</v>
      </c>
      <c r="I1341" s="36" t="n">
        <f aca="false">INDEX(Inventory!$D$2:$D$17,MATCH(C1341,Inventory!$A$2:$A$17,0))</f>
        <v>1.3</v>
      </c>
      <c r="J1341" s="36" t="n">
        <f aca="false">F1341*I1341</f>
        <v>6.5</v>
      </c>
      <c r="K1341" s="36" t="n">
        <f aca="false">H1341-J1341</f>
        <v>3</v>
      </c>
    </row>
    <row r="1342" customFormat="false" ht="15" hidden="false" customHeight="false" outlineLevel="0" collapsed="false">
      <c r="A1342" s="41" t="n">
        <v>46287</v>
      </c>
      <c r="B1342" s="42" t="n">
        <f aca="false">DATE(YEAR(A1342),MONTH(A1342),1)</f>
        <v>46266</v>
      </c>
      <c r="C1342" s="3" t="s">
        <v>61</v>
      </c>
      <c r="D1342" s="3" t="s">
        <v>62</v>
      </c>
      <c r="E1342" s="3" t="s">
        <v>29</v>
      </c>
      <c r="F1342" s="3" t="n">
        <v>8</v>
      </c>
      <c r="G1342" s="36" t="n">
        <v>1.9</v>
      </c>
      <c r="H1342" s="36" t="n">
        <f aca="false">F1342*G1342</f>
        <v>15.2</v>
      </c>
      <c r="I1342" s="36" t="n">
        <f aca="false">INDEX(Inventory!$D$2:$D$17,MATCH(C1342,Inventory!$A$2:$A$17,0))</f>
        <v>1.1</v>
      </c>
      <c r="J1342" s="36" t="n">
        <f aca="false">F1342*I1342</f>
        <v>8.8</v>
      </c>
      <c r="K1342" s="36" t="n">
        <f aca="false">H1342-J1342</f>
        <v>6.4</v>
      </c>
    </row>
    <row r="1343" customFormat="false" ht="15" hidden="false" customHeight="false" outlineLevel="0" collapsed="false">
      <c r="A1343" s="41" t="n">
        <v>46287</v>
      </c>
      <c r="B1343" s="42" t="n">
        <f aca="false">DATE(YEAR(A1343),MONTH(A1343),1)</f>
        <v>46266</v>
      </c>
      <c r="C1343" s="3" t="s">
        <v>45</v>
      </c>
      <c r="D1343" s="3" t="s">
        <v>46</v>
      </c>
      <c r="E1343" s="3" t="s">
        <v>29</v>
      </c>
      <c r="F1343" s="3" t="n">
        <v>5</v>
      </c>
      <c r="G1343" s="36" t="n">
        <v>5.2</v>
      </c>
      <c r="H1343" s="36" t="n">
        <f aca="false">F1343*G1343</f>
        <v>26</v>
      </c>
      <c r="I1343" s="36" t="n">
        <f aca="false">INDEX(Inventory!$D$2:$D$17,MATCH(C1343,Inventory!$A$2:$A$17,0))</f>
        <v>3.5</v>
      </c>
      <c r="J1343" s="36" t="n">
        <f aca="false">F1343*I1343</f>
        <v>17.5</v>
      </c>
      <c r="K1343" s="36" t="n">
        <f aca="false">H1343-J1343</f>
        <v>8.5</v>
      </c>
    </row>
    <row r="1344" customFormat="false" ht="15" hidden="false" customHeight="false" outlineLevel="0" collapsed="false">
      <c r="A1344" s="41" t="n">
        <v>46287</v>
      </c>
      <c r="B1344" s="42" t="n">
        <f aca="false">DATE(YEAR(A1344),MONTH(A1344),1)</f>
        <v>46266</v>
      </c>
      <c r="C1344" s="3" t="s">
        <v>65</v>
      </c>
      <c r="D1344" s="3" t="s">
        <v>66</v>
      </c>
      <c r="E1344" s="3" t="s">
        <v>29</v>
      </c>
      <c r="F1344" s="3" t="n">
        <v>9</v>
      </c>
      <c r="G1344" s="36" t="n">
        <v>1.5</v>
      </c>
      <c r="H1344" s="36" t="n">
        <f aca="false">F1344*G1344</f>
        <v>13.5</v>
      </c>
      <c r="I1344" s="36" t="n">
        <f aca="false">INDEX(Inventory!$D$2:$D$17,MATCH(C1344,Inventory!$A$2:$A$17,0))</f>
        <v>0.9</v>
      </c>
      <c r="J1344" s="36" t="n">
        <f aca="false">F1344*I1344</f>
        <v>8.1</v>
      </c>
      <c r="K1344" s="36" t="n">
        <f aca="false">H1344-J1344</f>
        <v>5.4</v>
      </c>
    </row>
    <row r="1345" customFormat="false" ht="15" hidden="false" customHeight="false" outlineLevel="0" collapsed="false">
      <c r="A1345" s="41" t="n">
        <v>46287</v>
      </c>
      <c r="B1345" s="42" t="n">
        <f aca="false">DATE(YEAR(A1345),MONTH(A1345),1)</f>
        <v>46266</v>
      </c>
      <c r="C1345" s="3" t="s">
        <v>55</v>
      </c>
      <c r="D1345" s="3" t="s">
        <v>56</v>
      </c>
      <c r="E1345" s="3" t="s">
        <v>29</v>
      </c>
      <c r="F1345" s="3" t="n">
        <v>6</v>
      </c>
      <c r="G1345" s="36" t="n">
        <v>2.5</v>
      </c>
      <c r="H1345" s="36" t="n">
        <f aca="false">F1345*G1345</f>
        <v>15</v>
      </c>
      <c r="I1345" s="36" t="n">
        <f aca="false">INDEX(Inventory!$D$2:$D$17,MATCH(C1345,Inventory!$A$2:$A$17,0))</f>
        <v>1.6</v>
      </c>
      <c r="J1345" s="36" t="n">
        <f aca="false">F1345*I1345</f>
        <v>9.6</v>
      </c>
      <c r="K1345" s="36" t="n">
        <f aca="false">H1345-J1345</f>
        <v>5.4</v>
      </c>
    </row>
    <row r="1346" customFormat="false" ht="15" hidden="false" customHeight="false" outlineLevel="0" collapsed="false">
      <c r="A1346" s="41" t="n">
        <v>46288</v>
      </c>
      <c r="B1346" s="42" t="n">
        <f aca="false">DATE(YEAR(A1346),MONTH(A1346),1)</f>
        <v>46266</v>
      </c>
      <c r="C1346" s="3" t="s">
        <v>39</v>
      </c>
      <c r="D1346" s="3" t="s">
        <v>40</v>
      </c>
      <c r="E1346" s="3" t="s">
        <v>27</v>
      </c>
      <c r="F1346" s="3" t="n">
        <v>31</v>
      </c>
      <c r="G1346" s="36" t="n">
        <v>1</v>
      </c>
      <c r="H1346" s="36" t="n">
        <f aca="false">F1346*G1346</f>
        <v>31</v>
      </c>
      <c r="I1346" s="36" t="n">
        <f aca="false">INDEX(Inventory!$D$2:$D$17,MATCH(C1346,Inventory!$A$2:$A$17,0))</f>
        <v>0.6</v>
      </c>
      <c r="J1346" s="36" t="n">
        <f aca="false">F1346*I1346</f>
        <v>18.6</v>
      </c>
      <c r="K1346" s="36" t="n">
        <f aca="false">H1346-J1346</f>
        <v>12.4</v>
      </c>
    </row>
    <row r="1347" customFormat="false" ht="15" hidden="false" customHeight="false" outlineLevel="0" collapsed="false">
      <c r="A1347" s="41" t="n">
        <v>46288</v>
      </c>
      <c r="B1347" s="42" t="n">
        <f aca="false">DATE(YEAR(A1347),MONTH(A1347),1)</f>
        <v>46266</v>
      </c>
      <c r="C1347" s="3" t="s">
        <v>53</v>
      </c>
      <c r="D1347" s="3" t="s">
        <v>54</v>
      </c>
      <c r="E1347" s="3" t="s">
        <v>27</v>
      </c>
      <c r="F1347" s="3" t="n">
        <v>16</v>
      </c>
      <c r="G1347" s="36" t="n">
        <v>0.95</v>
      </c>
      <c r="H1347" s="36" t="n">
        <f aca="false">F1347*G1347</f>
        <v>15.2</v>
      </c>
      <c r="I1347" s="36" t="n">
        <f aca="false">INDEX(Inventory!$D$2:$D$17,MATCH(C1347,Inventory!$A$2:$A$17,0))</f>
        <v>0.55</v>
      </c>
      <c r="J1347" s="36" t="n">
        <f aca="false">F1347*I1347</f>
        <v>8.8</v>
      </c>
      <c r="K1347" s="36" t="n">
        <f aca="false">H1347-J1347</f>
        <v>6.4</v>
      </c>
    </row>
    <row r="1348" customFormat="false" ht="15" hidden="false" customHeight="false" outlineLevel="0" collapsed="false">
      <c r="A1348" s="41" t="n">
        <v>46288</v>
      </c>
      <c r="B1348" s="42" t="n">
        <f aca="false">DATE(YEAR(A1348),MONTH(A1348),1)</f>
        <v>46266</v>
      </c>
      <c r="C1348" s="3" t="s">
        <v>59</v>
      </c>
      <c r="D1348" s="3" t="s">
        <v>60</v>
      </c>
      <c r="E1348" s="3" t="s">
        <v>27</v>
      </c>
      <c r="F1348" s="3" t="n">
        <v>53</v>
      </c>
      <c r="G1348" s="36" t="n">
        <v>0.6</v>
      </c>
      <c r="H1348" s="36" t="n">
        <f aca="false">F1348*G1348</f>
        <v>31.8</v>
      </c>
      <c r="I1348" s="36" t="n">
        <f aca="false">INDEX(Inventory!$D$2:$D$17,MATCH(C1348,Inventory!$A$2:$A$17,0))</f>
        <v>0.3</v>
      </c>
      <c r="J1348" s="36" t="n">
        <f aca="false">F1348*I1348</f>
        <v>15.9</v>
      </c>
      <c r="K1348" s="36" t="n">
        <f aca="false">H1348-J1348</f>
        <v>15.9</v>
      </c>
    </row>
    <row r="1349" customFormat="false" ht="15" hidden="false" customHeight="false" outlineLevel="0" collapsed="false">
      <c r="A1349" s="41" t="n">
        <v>46288</v>
      </c>
      <c r="B1349" s="42" t="n">
        <f aca="false">DATE(YEAR(A1349),MONTH(A1349),1)</f>
        <v>46266</v>
      </c>
      <c r="C1349" s="3" t="s">
        <v>57</v>
      </c>
      <c r="D1349" s="3" t="s">
        <v>58</v>
      </c>
      <c r="E1349" s="3" t="s">
        <v>27</v>
      </c>
      <c r="F1349" s="3" t="n">
        <v>10</v>
      </c>
      <c r="G1349" s="36" t="n">
        <v>1.5</v>
      </c>
      <c r="H1349" s="36" t="n">
        <f aca="false">F1349*G1349</f>
        <v>15</v>
      </c>
      <c r="I1349" s="36" t="n">
        <f aca="false">INDEX(Inventory!$D$2:$D$17,MATCH(C1349,Inventory!$A$2:$A$17,0))</f>
        <v>0.9</v>
      </c>
      <c r="J1349" s="36" t="n">
        <f aca="false">F1349*I1349</f>
        <v>9</v>
      </c>
      <c r="K1349" s="36" t="n">
        <f aca="false">H1349-J1349</f>
        <v>6</v>
      </c>
    </row>
    <row r="1350" customFormat="false" ht="15" hidden="false" customHeight="false" outlineLevel="0" collapsed="false">
      <c r="A1350" s="41" t="n">
        <v>46288</v>
      </c>
      <c r="B1350" s="42" t="n">
        <f aca="false">DATE(YEAR(A1350),MONTH(A1350),1)</f>
        <v>46266</v>
      </c>
      <c r="C1350" s="3" t="s">
        <v>41</v>
      </c>
      <c r="D1350" s="3" t="s">
        <v>42</v>
      </c>
      <c r="E1350" s="3" t="s">
        <v>28</v>
      </c>
      <c r="F1350" s="3" t="n">
        <v>18</v>
      </c>
      <c r="G1350" s="36" t="n">
        <v>1.3</v>
      </c>
      <c r="H1350" s="36" t="n">
        <f aca="false">F1350*G1350</f>
        <v>23.4</v>
      </c>
      <c r="I1350" s="36" t="n">
        <f aca="false">INDEX(Inventory!$D$2:$D$17,MATCH(C1350,Inventory!$A$2:$A$17,0))</f>
        <v>0.8</v>
      </c>
      <c r="J1350" s="36" t="n">
        <f aca="false">F1350*I1350</f>
        <v>14.4</v>
      </c>
      <c r="K1350" s="36" t="n">
        <f aca="false">H1350-J1350</f>
        <v>9</v>
      </c>
    </row>
    <row r="1351" customFormat="false" ht="15" hidden="false" customHeight="false" outlineLevel="0" collapsed="false">
      <c r="A1351" s="41" t="n">
        <v>46288</v>
      </c>
      <c r="B1351" s="42" t="n">
        <f aca="false">DATE(YEAR(A1351),MONTH(A1351),1)</f>
        <v>46266</v>
      </c>
      <c r="C1351" s="3" t="s">
        <v>63</v>
      </c>
      <c r="D1351" s="3" t="s">
        <v>64</v>
      </c>
      <c r="E1351" s="3" t="s">
        <v>28</v>
      </c>
      <c r="F1351" s="3" t="n">
        <v>16</v>
      </c>
      <c r="G1351" s="36" t="n">
        <v>0.9</v>
      </c>
      <c r="H1351" s="36" t="n">
        <f aca="false">F1351*G1351</f>
        <v>14.4</v>
      </c>
      <c r="I1351" s="36" t="n">
        <f aca="false">INDEX(Inventory!$D$2:$D$17,MATCH(C1351,Inventory!$A$2:$A$17,0))</f>
        <v>0.5</v>
      </c>
      <c r="J1351" s="36" t="n">
        <f aca="false">F1351*I1351</f>
        <v>8</v>
      </c>
      <c r="K1351" s="36" t="n">
        <f aca="false">H1351-J1351</f>
        <v>6.4</v>
      </c>
    </row>
    <row r="1352" customFormat="false" ht="15" hidden="false" customHeight="false" outlineLevel="0" collapsed="false">
      <c r="A1352" s="41" t="n">
        <v>46288</v>
      </c>
      <c r="B1352" s="42" t="n">
        <f aca="false">DATE(YEAR(A1352),MONTH(A1352),1)</f>
        <v>46266</v>
      </c>
      <c r="C1352" s="3" t="s">
        <v>49</v>
      </c>
      <c r="D1352" s="3" t="s">
        <v>50</v>
      </c>
      <c r="E1352" s="3" t="s">
        <v>28</v>
      </c>
      <c r="F1352" s="3" t="n">
        <v>14</v>
      </c>
      <c r="G1352" s="36" t="n">
        <v>1.2</v>
      </c>
      <c r="H1352" s="36" t="n">
        <f aca="false">F1352*G1352</f>
        <v>16.8</v>
      </c>
      <c r="I1352" s="36" t="n">
        <f aca="false">INDEX(Inventory!$D$2:$D$17,MATCH(C1352,Inventory!$A$2:$A$17,0))</f>
        <v>0.7</v>
      </c>
      <c r="J1352" s="36" t="n">
        <f aca="false">F1352*I1352</f>
        <v>9.8</v>
      </c>
      <c r="K1352" s="36" t="n">
        <f aca="false">H1352-J1352</f>
        <v>7</v>
      </c>
    </row>
    <row r="1353" customFormat="false" ht="15" hidden="false" customHeight="false" outlineLevel="0" collapsed="false">
      <c r="A1353" s="41" t="n">
        <v>46288</v>
      </c>
      <c r="B1353" s="42" t="n">
        <f aca="false">DATE(YEAR(A1353),MONTH(A1353),1)</f>
        <v>46266</v>
      </c>
      <c r="C1353" s="3" t="s">
        <v>51</v>
      </c>
      <c r="D1353" s="3" t="s">
        <v>52</v>
      </c>
      <c r="E1353" s="3" t="s">
        <v>28</v>
      </c>
      <c r="F1353" s="3" t="n">
        <v>28</v>
      </c>
      <c r="G1353" s="36" t="n">
        <v>0.85</v>
      </c>
      <c r="H1353" s="36" t="n">
        <f aca="false">F1353*G1353</f>
        <v>23.8</v>
      </c>
      <c r="I1353" s="36" t="n">
        <f aca="false">INDEX(Inventory!$D$2:$D$17,MATCH(C1353,Inventory!$A$2:$A$17,0))</f>
        <v>0.45</v>
      </c>
      <c r="J1353" s="36" t="n">
        <f aca="false">F1353*I1353</f>
        <v>12.6</v>
      </c>
      <c r="K1353" s="36" t="n">
        <f aca="false">H1353-J1353</f>
        <v>11.2</v>
      </c>
    </row>
    <row r="1354" customFormat="false" ht="15" hidden="false" customHeight="false" outlineLevel="0" collapsed="false">
      <c r="A1354" s="41" t="n">
        <v>46288</v>
      </c>
      <c r="B1354" s="42" t="n">
        <f aca="false">DATE(YEAR(A1354),MONTH(A1354),1)</f>
        <v>46266</v>
      </c>
      <c r="C1354" s="3" t="s">
        <v>37</v>
      </c>
      <c r="D1354" s="3" t="s">
        <v>38</v>
      </c>
      <c r="E1354" s="3" t="s">
        <v>26</v>
      </c>
      <c r="F1354" s="3" t="n">
        <v>37</v>
      </c>
      <c r="G1354" s="36" t="n">
        <v>1.2</v>
      </c>
      <c r="H1354" s="36" t="n">
        <f aca="false">F1354*G1354</f>
        <v>44.4</v>
      </c>
      <c r="I1354" s="36" t="n">
        <f aca="false">INDEX(Inventory!$D$2:$D$17,MATCH(C1354,Inventory!$A$2:$A$17,0))</f>
        <v>0.85</v>
      </c>
      <c r="J1354" s="36" t="n">
        <f aca="false">F1354*I1354</f>
        <v>31.45</v>
      </c>
      <c r="K1354" s="36" t="n">
        <f aca="false">H1354-J1354</f>
        <v>12.95</v>
      </c>
    </row>
    <row r="1355" customFormat="false" ht="15" hidden="false" customHeight="false" outlineLevel="0" collapsed="false">
      <c r="A1355" s="41" t="n">
        <v>46288</v>
      </c>
      <c r="B1355" s="42" t="n">
        <f aca="false">DATE(YEAR(A1355),MONTH(A1355),1)</f>
        <v>46266</v>
      </c>
      <c r="C1355" s="3" t="s">
        <v>47</v>
      </c>
      <c r="D1355" s="3" t="s">
        <v>48</v>
      </c>
      <c r="E1355" s="3" t="s">
        <v>26</v>
      </c>
      <c r="F1355" s="3" t="n">
        <v>10</v>
      </c>
      <c r="G1355" s="36" t="n">
        <v>2.2</v>
      </c>
      <c r="H1355" s="36" t="n">
        <f aca="false">F1355*G1355</f>
        <v>22</v>
      </c>
      <c r="I1355" s="36" t="n">
        <f aca="false">INDEX(Inventory!$D$2:$D$17,MATCH(C1355,Inventory!$A$2:$A$17,0))</f>
        <v>1.4</v>
      </c>
      <c r="J1355" s="36" t="n">
        <f aca="false">F1355*I1355</f>
        <v>14</v>
      </c>
      <c r="K1355" s="36" t="n">
        <f aca="false">H1355-J1355</f>
        <v>8</v>
      </c>
    </row>
    <row r="1356" customFormat="false" ht="15" hidden="false" customHeight="false" outlineLevel="0" collapsed="false">
      <c r="A1356" s="41" t="n">
        <v>46288</v>
      </c>
      <c r="B1356" s="42" t="n">
        <f aca="false">DATE(YEAR(A1356),MONTH(A1356),1)</f>
        <v>46266</v>
      </c>
      <c r="C1356" s="3" t="s">
        <v>43</v>
      </c>
      <c r="D1356" s="3" t="s">
        <v>44</v>
      </c>
      <c r="E1356" s="3" t="s">
        <v>26</v>
      </c>
      <c r="F1356" s="3" t="n">
        <v>8</v>
      </c>
      <c r="G1356" s="36" t="n">
        <v>3.8</v>
      </c>
      <c r="H1356" s="36" t="n">
        <f aca="false">F1356*G1356</f>
        <v>30.4</v>
      </c>
      <c r="I1356" s="36" t="n">
        <f aca="false">INDEX(Inventory!$D$2:$D$17,MATCH(C1356,Inventory!$A$2:$A$17,0))</f>
        <v>2.6</v>
      </c>
      <c r="J1356" s="36" t="n">
        <f aca="false">F1356*I1356</f>
        <v>20.8</v>
      </c>
      <c r="K1356" s="36" t="n">
        <f aca="false">H1356-J1356</f>
        <v>9.6</v>
      </c>
    </row>
    <row r="1357" customFormat="false" ht="15" hidden="false" customHeight="false" outlineLevel="0" collapsed="false">
      <c r="A1357" s="41" t="n">
        <v>46288</v>
      </c>
      <c r="B1357" s="42" t="n">
        <f aca="false">DATE(YEAR(A1357),MONTH(A1357),1)</f>
        <v>46266</v>
      </c>
      <c r="C1357" s="3" t="s">
        <v>67</v>
      </c>
      <c r="D1357" s="3" t="s">
        <v>68</v>
      </c>
      <c r="E1357" s="3" t="s">
        <v>26</v>
      </c>
      <c r="F1357" s="3" t="n">
        <v>6</v>
      </c>
      <c r="G1357" s="36" t="n">
        <v>1.9</v>
      </c>
      <c r="H1357" s="36" t="n">
        <f aca="false">F1357*G1357</f>
        <v>11.4</v>
      </c>
      <c r="I1357" s="36" t="n">
        <f aca="false">INDEX(Inventory!$D$2:$D$17,MATCH(C1357,Inventory!$A$2:$A$17,0))</f>
        <v>1.3</v>
      </c>
      <c r="J1357" s="36" t="n">
        <f aca="false">F1357*I1357</f>
        <v>7.8</v>
      </c>
      <c r="K1357" s="36" t="n">
        <f aca="false">H1357-J1357</f>
        <v>3.6</v>
      </c>
    </row>
    <row r="1358" customFormat="false" ht="15" hidden="false" customHeight="false" outlineLevel="0" collapsed="false">
      <c r="A1358" s="41" t="n">
        <v>46288</v>
      </c>
      <c r="B1358" s="42" t="n">
        <f aca="false">DATE(YEAR(A1358),MONTH(A1358),1)</f>
        <v>46266</v>
      </c>
      <c r="C1358" s="3" t="s">
        <v>61</v>
      </c>
      <c r="D1358" s="3" t="s">
        <v>62</v>
      </c>
      <c r="E1358" s="3" t="s">
        <v>29</v>
      </c>
      <c r="F1358" s="3" t="n">
        <v>10</v>
      </c>
      <c r="G1358" s="36" t="n">
        <v>1.9</v>
      </c>
      <c r="H1358" s="36" t="n">
        <f aca="false">F1358*G1358</f>
        <v>19</v>
      </c>
      <c r="I1358" s="36" t="n">
        <f aca="false">INDEX(Inventory!$D$2:$D$17,MATCH(C1358,Inventory!$A$2:$A$17,0))</f>
        <v>1.1</v>
      </c>
      <c r="J1358" s="36" t="n">
        <f aca="false">F1358*I1358</f>
        <v>11</v>
      </c>
      <c r="K1358" s="36" t="n">
        <f aca="false">H1358-J1358</f>
        <v>8</v>
      </c>
    </row>
    <row r="1359" customFormat="false" ht="15" hidden="false" customHeight="false" outlineLevel="0" collapsed="false">
      <c r="A1359" s="41" t="n">
        <v>46288</v>
      </c>
      <c r="B1359" s="42" t="n">
        <f aca="false">DATE(YEAR(A1359),MONTH(A1359),1)</f>
        <v>46266</v>
      </c>
      <c r="C1359" s="3" t="s">
        <v>45</v>
      </c>
      <c r="D1359" s="3" t="s">
        <v>46</v>
      </c>
      <c r="E1359" s="3" t="s">
        <v>29</v>
      </c>
      <c r="F1359" s="3" t="n">
        <v>7</v>
      </c>
      <c r="G1359" s="36" t="n">
        <v>5.2</v>
      </c>
      <c r="H1359" s="36" t="n">
        <f aca="false">F1359*G1359</f>
        <v>36.4</v>
      </c>
      <c r="I1359" s="36" t="n">
        <f aca="false">INDEX(Inventory!$D$2:$D$17,MATCH(C1359,Inventory!$A$2:$A$17,0))</f>
        <v>3.5</v>
      </c>
      <c r="J1359" s="36" t="n">
        <f aca="false">F1359*I1359</f>
        <v>24.5</v>
      </c>
      <c r="K1359" s="36" t="n">
        <f aca="false">H1359-J1359</f>
        <v>11.9</v>
      </c>
    </row>
    <row r="1360" customFormat="false" ht="15" hidden="false" customHeight="false" outlineLevel="0" collapsed="false">
      <c r="A1360" s="41" t="n">
        <v>46288</v>
      </c>
      <c r="B1360" s="42" t="n">
        <f aca="false">DATE(YEAR(A1360),MONTH(A1360),1)</f>
        <v>46266</v>
      </c>
      <c r="C1360" s="3" t="s">
        <v>65</v>
      </c>
      <c r="D1360" s="3" t="s">
        <v>66</v>
      </c>
      <c r="E1360" s="3" t="s">
        <v>29</v>
      </c>
      <c r="F1360" s="3" t="n">
        <v>10</v>
      </c>
      <c r="G1360" s="36" t="n">
        <v>1.5</v>
      </c>
      <c r="H1360" s="36" t="n">
        <f aca="false">F1360*G1360</f>
        <v>15</v>
      </c>
      <c r="I1360" s="36" t="n">
        <f aca="false">INDEX(Inventory!$D$2:$D$17,MATCH(C1360,Inventory!$A$2:$A$17,0))</f>
        <v>0.9</v>
      </c>
      <c r="J1360" s="36" t="n">
        <f aca="false">F1360*I1360</f>
        <v>9</v>
      </c>
      <c r="K1360" s="36" t="n">
        <f aca="false">H1360-J1360</f>
        <v>6</v>
      </c>
    </row>
    <row r="1361" customFormat="false" ht="15" hidden="false" customHeight="false" outlineLevel="0" collapsed="false">
      <c r="A1361" s="41" t="n">
        <v>46288</v>
      </c>
      <c r="B1361" s="42" t="n">
        <f aca="false">DATE(YEAR(A1361),MONTH(A1361),1)</f>
        <v>46266</v>
      </c>
      <c r="C1361" s="3" t="s">
        <v>55</v>
      </c>
      <c r="D1361" s="3" t="s">
        <v>56</v>
      </c>
      <c r="E1361" s="3" t="s">
        <v>29</v>
      </c>
      <c r="F1361" s="3" t="n">
        <v>6</v>
      </c>
      <c r="G1361" s="36" t="n">
        <v>2.5</v>
      </c>
      <c r="H1361" s="36" t="n">
        <f aca="false">F1361*G1361</f>
        <v>15</v>
      </c>
      <c r="I1361" s="36" t="n">
        <f aca="false">INDEX(Inventory!$D$2:$D$17,MATCH(C1361,Inventory!$A$2:$A$17,0))</f>
        <v>1.6</v>
      </c>
      <c r="J1361" s="36" t="n">
        <f aca="false">F1361*I1361</f>
        <v>9.6</v>
      </c>
      <c r="K1361" s="36" t="n">
        <f aca="false">H1361-J1361</f>
        <v>5.4</v>
      </c>
    </row>
    <row r="1362" customFormat="false" ht="15" hidden="false" customHeight="false" outlineLevel="0" collapsed="false">
      <c r="A1362" s="41" t="n">
        <v>46289</v>
      </c>
      <c r="B1362" s="42" t="n">
        <f aca="false">DATE(YEAR(A1362),MONTH(A1362),1)</f>
        <v>46266</v>
      </c>
      <c r="C1362" s="3" t="s">
        <v>39</v>
      </c>
      <c r="D1362" s="3" t="s">
        <v>40</v>
      </c>
      <c r="E1362" s="3" t="s">
        <v>27</v>
      </c>
      <c r="F1362" s="3" t="n">
        <v>38</v>
      </c>
      <c r="G1362" s="36" t="n">
        <v>1</v>
      </c>
      <c r="H1362" s="36" t="n">
        <f aca="false">F1362*G1362</f>
        <v>38</v>
      </c>
      <c r="I1362" s="36" t="n">
        <f aca="false">INDEX(Inventory!$D$2:$D$17,MATCH(C1362,Inventory!$A$2:$A$17,0))</f>
        <v>0.6</v>
      </c>
      <c r="J1362" s="36" t="n">
        <f aca="false">F1362*I1362</f>
        <v>22.8</v>
      </c>
      <c r="K1362" s="36" t="n">
        <f aca="false">H1362-J1362</f>
        <v>15.2</v>
      </c>
    </row>
    <row r="1363" customFormat="false" ht="15" hidden="false" customHeight="false" outlineLevel="0" collapsed="false">
      <c r="A1363" s="41" t="n">
        <v>46289</v>
      </c>
      <c r="B1363" s="42" t="n">
        <f aca="false">DATE(YEAR(A1363),MONTH(A1363),1)</f>
        <v>46266</v>
      </c>
      <c r="C1363" s="3" t="s">
        <v>53</v>
      </c>
      <c r="D1363" s="3" t="s">
        <v>54</v>
      </c>
      <c r="E1363" s="3" t="s">
        <v>27</v>
      </c>
      <c r="F1363" s="3" t="n">
        <v>25</v>
      </c>
      <c r="G1363" s="36" t="n">
        <v>0.95</v>
      </c>
      <c r="H1363" s="36" t="n">
        <f aca="false">F1363*G1363</f>
        <v>23.75</v>
      </c>
      <c r="I1363" s="36" t="n">
        <f aca="false">INDEX(Inventory!$D$2:$D$17,MATCH(C1363,Inventory!$A$2:$A$17,0))</f>
        <v>0.55</v>
      </c>
      <c r="J1363" s="36" t="n">
        <f aca="false">F1363*I1363</f>
        <v>13.75</v>
      </c>
      <c r="K1363" s="36" t="n">
        <f aca="false">H1363-J1363</f>
        <v>10</v>
      </c>
    </row>
    <row r="1364" customFormat="false" ht="15" hidden="false" customHeight="false" outlineLevel="0" collapsed="false">
      <c r="A1364" s="41" t="n">
        <v>46289</v>
      </c>
      <c r="B1364" s="42" t="n">
        <f aca="false">DATE(YEAR(A1364),MONTH(A1364),1)</f>
        <v>46266</v>
      </c>
      <c r="C1364" s="3" t="s">
        <v>59</v>
      </c>
      <c r="D1364" s="3" t="s">
        <v>60</v>
      </c>
      <c r="E1364" s="3" t="s">
        <v>27</v>
      </c>
      <c r="F1364" s="3" t="n">
        <v>36</v>
      </c>
      <c r="G1364" s="36" t="n">
        <v>0.6</v>
      </c>
      <c r="H1364" s="36" t="n">
        <f aca="false">F1364*G1364</f>
        <v>21.6</v>
      </c>
      <c r="I1364" s="36" t="n">
        <f aca="false">INDEX(Inventory!$D$2:$D$17,MATCH(C1364,Inventory!$A$2:$A$17,0))</f>
        <v>0.3</v>
      </c>
      <c r="J1364" s="36" t="n">
        <f aca="false">F1364*I1364</f>
        <v>10.8</v>
      </c>
      <c r="K1364" s="36" t="n">
        <f aca="false">H1364-J1364</f>
        <v>10.8</v>
      </c>
    </row>
    <row r="1365" customFormat="false" ht="15" hidden="false" customHeight="false" outlineLevel="0" collapsed="false">
      <c r="A1365" s="41" t="n">
        <v>46289</v>
      </c>
      <c r="B1365" s="42" t="n">
        <f aca="false">DATE(YEAR(A1365),MONTH(A1365),1)</f>
        <v>46266</v>
      </c>
      <c r="C1365" s="3" t="s">
        <v>57</v>
      </c>
      <c r="D1365" s="3" t="s">
        <v>58</v>
      </c>
      <c r="E1365" s="3" t="s">
        <v>27</v>
      </c>
      <c r="F1365" s="3" t="n">
        <v>11</v>
      </c>
      <c r="G1365" s="36" t="n">
        <v>1.5</v>
      </c>
      <c r="H1365" s="36" t="n">
        <f aca="false">F1365*G1365</f>
        <v>16.5</v>
      </c>
      <c r="I1365" s="36" t="n">
        <f aca="false">INDEX(Inventory!$D$2:$D$17,MATCH(C1365,Inventory!$A$2:$A$17,0))</f>
        <v>0.9</v>
      </c>
      <c r="J1365" s="36" t="n">
        <f aca="false">F1365*I1365</f>
        <v>9.9</v>
      </c>
      <c r="K1365" s="36" t="n">
        <f aca="false">H1365-J1365</f>
        <v>6.6</v>
      </c>
    </row>
    <row r="1366" customFormat="false" ht="15" hidden="false" customHeight="false" outlineLevel="0" collapsed="false">
      <c r="A1366" s="41" t="n">
        <v>46289</v>
      </c>
      <c r="B1366" s="42" t="n">
        <f aca="false">DATE(YEAR(A1366),MONTH(A1366),1)</f>
        <v>46266</v>
      </c>
      <c r="C1366" s="3" t="s">
        <v>41</v>
      </c>
      <c r="D1366" s="3" t="s">
        <v>42</v>
      </c>
      <c r="E1366" s="3" t="s">
        <v>28</v>
      </c>
      <c r="F1366" s="3" t="n">
        <v>22</v>
      </c>
      <c r="G1366" s="36" t="n">
        <v>1.3</v>
      </c>
      <c r="H1366" s="36" t="n">
        <f aca="false">F1366*G1366</f>
        <v>28.6</v>
      </c>
      <c r="I1366" s="36" t="n">
        <f aca="false">INDEX(Inventory!$D$2:$D$17,MATCH(C1366,Inventory!$A$2:$A$17,0))</f>
        <v>0.8</v>
      </c>
      <c r="J1366" s="36" t="n">
        <f aca="false">F1366*I1366</f>
        <v>17.6</v>
      </c>
      <c r="K1366" s="36" t="n">
        <f aca="false">H1366-J1366</f>
        <v>11</v>
      </c>
    </row>
    <row r="1367" customFormat="false" ht="15" hidden="false" customHeight="false" outlineLevel="0" collapsed="false">
      <c r="A1367" s="41" t="n">
        <v>46289</v>
      </c>
      <c r="B1367" s="42" t="n">
        <f aca="false">DATE(YEAR(A1367),MONTH(A1367),1)</f>
        <v>46266</v>
      </c>
      <c r="C1367" s="3" t="s">
        <v>63</v>
      </c>
      <c r="D1367" s="3" t="s">
        <v>64</v>
      </c>
      <c r="E1367" s="3" t="s">
        <v>28</v>
      </c>
      <c r="F1367" s="3" t="n">
        <v>12</v>
      </c>
      <c r="G1367" s="36" t="n">
        <v>0.9</v>
      </c>
      <c r="H1367" s="36" t="n">
        <f aca="false">F1367*G1367</f>
        <v>10.8</v>
      </c>
      <c r="I1367" s="36" t="n">
        <f aca="false">INDEX(Inventory!$D$2:$D$17,MATCH(C1367,Inventory!$A$2:$A$17,0))</f>
        <v>0.5</v>
      </c>
      <c r="J1367" s="36" t="n">
        <f aca="false">F1367*I1367</f>
        <v>6</v>
      </c>
      <c r="K1367" s="36" t="n">
        <f aca="false">H1367-J1367</f>
        <v>4.8</v>
      </c>
    </row>
    <row r="1368" customFormat="false" ht="15" hidden="false" customHeight="false" outlineLevel="0" collapsed="false">
      <c r="A1368" s="41" t="n">
        <v>46289</v>
      </c>
      <c r="B1368" s="42" t="n">
        <f aca="false">DATE(YEAR(A1368),MONTH(A1368),1)</f>
        <v>46266</v>
      </c>
      <c r="C1368" s="3" t="s">
        <v>49</v>
      </c>
      <c r="D1368" s="3" t="s">
        <v>50</v>
      </c>
      <c r="E1368" s="3" t="s">
        <v>28</v>
      </c>
      <c r="F1368" s="3" t="n">
        <v>19</v>
      </c>
      <c r="G1368" s="36" t="n">
        <v>1.2</v>
      </c>
      <c r="H1368" s="36" t="n">
        <f aca="false">F1368*G1368</f>
        <v>22.8</v>
      </c>
      <c r="I1368" s="36" t="n">
        <f aca="false">INDEX(Inventory!$D$2:$D$17,MATCH(C1368,Inventory!$A$2:$A$17,0))</f>
        <v>0.7</v>
      </c>
      <c r="J1368" s="36" t="n">
        <f aca="false">F1368*I1368</f>
        <v>13.3</v>
      </c>
      <c r="K1368" s="36" t="n">
        <f aca="false">H1368-J1368</f>
        <v>9.5</v>
      </c>
    </row>
    <row r="1369" customFormat="false" ht="15" hidden="false" customHeight="false" outlineLevel="0" collapsed="false">
      <c r="A1369" s="41" t="n">
        <v>46289</v>
      </c>
      <c r="B1369" s="42" t="n">
        <f aca="false">DATE(YEAR(A1369),MONTH(A1369),1)</f>
        <v>46266</v>
      </c>
      <c r="C1369" s="3" t="s">
        <v>51</v>
      </c>
      <c r="D1369" s="3" t="s">
        <v>52</v>
      </c>
      <c r="E1369" s="3" t="s">
        <v>28</v>
      </c>
      <c r="F1369" s="3" t="n">
        <v>22</v>
      </c>
      <c r="G1369" s="36" t="n">
        <v>0.85</v>
      </c>
      <c r="H1369" s="36" t="n">
        <f aca="false">F1369*G1369</f>
        <v>18.7</v>
      </c>
      <c r="I1369" s="36" t="n">
        <f aca="false">INDEX(Inventory!$D$2:$D$17,MATCH(C1369,Inventory!$A$2:$A$17,0))</f>
        <v>0.45</v>
      </c>
      <c r="J1369" s="36" t="n">
        <f aca="false">F1369*I1369</f>
        <v>9.9</v>
      </c>
      <c r="K1369" s="36" t="n">
        <f aca="false">H1369-J1369</f>
        <v>8.8</v>
      </c>
    </row>
    <row r="1370" customFormat="false" ht="15" hidden="false" customHeight="false" outlineLevel="0" collapsed="false">
      <c r="A1370" s="41" t="n">
        <v>46289</v>
      </c>
      <c r="B1370" s="42" t="n">
        <f aca="false">DATE(YEAR(A1370),MONTH(A1370),1)</f>
        <v>46266</v>
      </c>
      <c r="C1370" s="3" t="s">
        <v>37</v>
      </c>
      <c r="D1370" s="3" t="s">
        <v>38</v>
      </c>
      <c r="E1370" s="3" t="s">
        <v>26</v>
      </c>
      <c r="F1370" s="3" t="n">
        <v>13</v>
      </c>
      <c r="G1370" s="36" t="n">
        <v>1.2</v>
      </c>
      <c r="H1370" s="36" t="n">
        <f aca="false">F1370*G1370</f>
        <v>15.6</v>
      </c>
      <c r="I1370" s="36" t="n">
        <f aca="false">INDEX(Inventory!$D$2:$D$17,MATCH(C1370,Inventory!$A$2:$A$17,0))</f>
        <v>0.85</v>
      </c>
      <c r="J1370" s="36" t="n">
        <f aca="false">F1370*I1370</f>
        <v>11.05</v>
      </c>
      <c r="K1370" s="36" t="n">
        <f aca="false">H1370-J1370</f>
        <v>4.55</v>
      </c>
    </row>
    <row r="1371" customFormat="false" ht="15" hidden="false" customHeight="false" outlineLevel="0" collapsed="false">
      <c r="A1371" s="41" t="n">
        <v>46289</v>
      </c>
      <c r="B1371" s="42" t="n">
        <f aca="false">DATE(YEAR(A1371),MONTH(A1371),1)</f>
        <v>46266</v>
      </c>
      <c r="C1371" s="3" t="s">
        <v>47</v>
      </c>
      <c r="D1371" s="3" t="s">
        <v>48</v>
      </c>
      <c r="E1371" s="3" t="s">
        <v>26</v>
      </c>
      <c r="F1371" s="3" t="n">
        <v>13</v>
      </c>
      <c r="G1371" s="36" t="n">
        <v>2.2</v>
      </c>
      <c r="H1371" s="36" t="n">
        <f aca="false">F1371*G1371</f>
        <v>28.6</v>
      </c>
      <c r="I1371" s="36" t="n">
        <f aca="false">INDEX(Inventory!$D$2:$D$17,MATCH(C1371,Inventory!$A$2:$A$17,0))</f>
        <v>1.4</v>
      </c>
      <c r="J1371" s="36" t="n">
        <f aca="false">F1371*I1371</f>
        <v>18.2</v>
      </c>
      <c r="K1371" s="36" t="n">
        <f aca="false">H1371-J1371</f>
        <v>10.4</v>
      </c>
    </row>
    <row r="1372" customFormat="false" ht="15" hidden="false" customHeight="false" outlineLevel="0" collapsed="false">
      <c r="A1372" s="41" t="n">
        <v>46289</v>
      </c>
      <c r="B1372" s="42" t="n">
        <f aca="false">DATE(YEAR(A1372),MONTH(A1372),1)</f>
        <v>46266</v>
      </c>
      <c r="C1372" s="3" t="s">
        <v>43</v>
      </c>
      <c r="D1372" s="3" t="s">
        <v>44</v>
      </c>
      <c r="E1372" s="3" t="s">
        <v>26</v>
      </c>
      <c r="F1372" s="3" t="n">
        <v>8</v>
      </c>
      <c r="G1372" s="36" t="n">
        <v>3.8</v>
      </c>
      <c r="H1372" s="36" t="n">
        <f aca="false">F1372*G1372</f>
        <v>30.4</v>
      </c>
      <c r="I1372" s="36" t="n">
        <f aca="false">INDEX(Inventory!$D$2:$D$17,MATCH(C1372,Inventory!$A$2:$A$17,0))</f>
        <v>2.6</v>
      </c>
      <c r="J1372" s="36" t="n">
        <f aca="false">F1372*I1372</f>
        <v>20.8</v>
      </c>
      <c r="K1372" s="36" t="n">
        <f aca="false">H1372-J1372</f>
        <v>9.6</v>
      </c>
    </row>
    <row r="1373" customFormat="false" ht="15" hidden="false" customHeight="false" outlineLevel="0" collapsed="false">
      <c r="A1373" s="41" t="n">
        <v>46289</v>
      </c>
      <c r="B1373" s="42" t="n">
        <f aca="false">DATE(YEAR(A1373),MONTH(A1373),1)</f>
        <v>46266</v>
      </c>
      <c r="C1373" s="3" t="s">
        <v>67</v>
      </c>
      <c r="D1373" s="3" t="s">
        <v>68</v>
      </c>
      <c r="E1373" s="3" t="s">
        <v>26</v>
      </c>
      <c r="F1373" s="3" t="n">
        <v>8</v>
      </c>
      <c r="G1373" s="36" t="n">
        <v>1.9</v>
      </c>
      <c r="H1373" s="36" t="n">
        <f aca="false">F1373*G1373</f>
        <v>15.2</v>
      </c>
      <c r="I1373" s="36" t="n">
        <f aca="false">INDEX(Inventory!$D$2:$D$17,MATCH(C1373,Inventory!$A$2:$A$17,0))</f>
        <v>1.3</v>
      </c>
      <c r="J1373" s="36" t="n">
        <f aca="false">F1373*I1373</f>
        <v>10.4</v>
      </c>
      <c r="K1373" s="36" t="n">
        <f aca="false">H1373-J1373</f>
        <v>4.8</v>
      </c>
    </row>
    <row r="1374" customFormat="false" ht="15" hidden="false" customHeight="false" outlineLevel="0" collapsed="false">
      <c r="A1374" s="41" t="n">
        <v>46289</v>
      </c>
      <c r="B1374" s="42" t="n">
        <f aca="false">DATE(YEAR(A1374),MONTH(A1374),1)</f>
        <v>46266</v>
      </c>
      <c r="C1374" s="3" t="s">
        <v>61</v>
      </c>
      <c r="D1374" s="3" t="s">
        <v>62</v>
      </c>
      <c r="E1374" s="3" t="s">
        <v>29</v>
      </c>
      <c r="F1374" s="3" t="n">
        <v>9</v>
      </c>
      <c r="G1374" s="36" t="n">
        <v>1.9</v>
      </c>
      <c r="H1374" s="36" t="n">
        <f aca="false">F1374*G1374</f>
        <v>17.1</v>
      </c>
      <c r="I1374" s="36" t="n">
        <f aca="false">INDEX(Inventory!$D$2:$D$17,MATCH(C1374,Inventory!$A$2:$A$17,0))</f>
        <v>1.1</v>
      </c>
      <c r="J1374" s="36" t="n">
        <f aca="false">F1374*I1374</f>
        <v>9.9</v>
      </c>
      <c r="K1374" s="36" t="n">
        <f aca="false">H1374-J1374</f>
        <v>7.2</v>
      </c>
    </row>
    <row r="1375" customFormat="false" ht="15" hidden="false" customHeight="false" outlineLevel="0" collapsed="false">
      <c r="A1375" s="41" t="n">
        <v>46289</v>
      </c>
      <c r="B1375" s="42" t="n">
        <f aca="false">DATE(YEAR(A1375),MONTH(A1375),1)</f>
        <v>46266</v>
      </c>
      <c r="C1375" s="3" t="s">
        <v>45</v>
      </c>
      <c r="D1375" s="3" t="s">
        <v>46</v>
      </c>
      <c r="E1375" s="3" t="s">
        <v>29</v>
      </c>
      <c r="F1375" s="3" t="n">
        <v>6</v>
      </c>
      <c r="G1375" s="36" t="n">
        <v>5.2</v>
      </c>
      <c r="H1375" s="36" t="n">
        <f aca="false">F1375*G1375</f>
        <v>31.2</v>
      </c>
      <c r="I1375" s="36" t="n">
        <f aca="false">INDEX(Inventory!$D$2:$D$17,MATCH(C1375,Inventory!$A$2:$A$17,0))</f>
        <v>3.5</v>
      </c>
      <c r="J1375" s="36" t="n">
        <f aca="false">F1375*I1375</f>
        <v>21</v>
      </c>
      <c r="K1375" s="36" t="n">
        <f aca="false">H1375-J1375</f>
        <v>10.2</v>
      </c>
    </row>
    <row r="1376" customFormat="false" ht="15" hidden="false" customHeight="false" outlineLevel="0" collapsed="false">
      <c r="A1376" s="41" t="n">
        <v>46289</v>
      </c>
      <c r="B1376" s="42" t="n">
        <f aca="false">DATE(YEAR(A1376),MONTH(A1376),1)</f>
        <v>46266</v>
      </c>
      <c r="C1376" s="3" t="s">
        <v>65</v>
      </c>
      <c r="D1376" s="3" t="s">
        <v>66</v>
      </c>
      <c r="E1376" s="3" t="s">
        <v>29</v>
      </c>
      <c r="F1376" s="3" t="n">
        <v>11</v>
      </c>
      <c r="G1376" s="36" t="n">
        <v>1.5</v>
      </c>
      <c r="H1376" s="36" t="n">
        <f aca="false">F1376*G1376</f>
        <v>16.5</v>
      </c>
      <c r="I1376" s="36" t="n">
        <f aca="false">INDEX(Inventory!$D$2:$D$17,MATCH(C1376,Inventory!$A$2:$A$17,0))</f>
        <v>0.9</v>
      </c>
      <c r="J1376" s="36" t="n">
        <f aca="false">F1376*I1376</f>
        <v>9.9</v>
      </c>
      <c r="K1376" s="36" t="n">
        <f aca="false">H1376-J1376</f>
        <v>6.6</v>
      </c>
    </row>
    <row r="1377" customFormat="false" ht="15" hidden="false" customHeight="false" outlineLevel="0" collapsed="false">
      <c r="A1377" s="41" t="n">
        <v>46289</v>
      </c>
      <c r="B1377" s="42" t="n">
        <f aca="false">DATE(YEAR(A1377),MONTH(A1377),1)</f>
        <v>46266</v>
      </c>
      <c r="C1377" s="3" t="s">
        <v>55</v>
      </c>
      <c r="D1377" s="3" t="s">
        <v>56</v>
      </c>
      <c r="E1377" s="3" t="s">
        <v>29</v>
      </c>
      <c r="F1377" s="3" t="n">
        <v>8</v>
      </c>
      <c r="G1377" s="36" t="n">
        <v>2.5</v>
      </c>
      <c r="H1377" s="36" t="n">
        <f aca="false">F1377*G1377</f>
        <v>20</v>
      </c>
      <c r="I1377" s="36" t="n">
        <f aca="false">INDEX(Inventory!$D$2:$D$17,MATCH(C1377,Inventory!$A$2:$A$17,0))</f>
        <v>1.6</v>
      </c>
      <c r="J1377" s="36" t="n">
        <f aca="false">F1377*I1377</f>
        <v>12.8</v>
      </c>
      <c r="K1377" s="36" t="n">
        <f aca="false">H1377-J1377</f>
        <v>7.2</v>
      </c>
    </row>
    <row r="1378" customFormat="false" ht="15" hidden="false" customHeight="false" outlineLevel="0" collapsed="false">
      <c r="A1378" s="41" t="n">
        <v>46290</v>
      </c>
      <c r="B1378" s="42" t="n">
        <f aca="false">DATE(YEAR(A1378),MONTH(A1378),1)</f>
        <v>46266</v>
      </c>
      <c r="C1378" s="3" t="s">
        <v>39</v>
      </c>
      <c r="D1378" s="3" t="s">
        <v>40</v>
      </c>
      <c r="E1378" s="3" t="s">
        <v>27</v>
      </c>
      <c r="F1378" s="3" t="n">
        <v>34</v>
      </c>
      <c r="G1378" s="36" t="n">
        <v>1</v>
      </c>
      <c r="H1378" s="36" t="n">
        <f aca="false">F1378*G1378</f>
        <v>34</v>
      </c>
      <c r="I1378" s="36" t="n">
        <f aca="false">INDEX(Inventory!$D$2:$D$17,MATCH(C1378,Inventory!$A$2:$A$17,0))</f>
        <v>0.6</v>
      </c>
      <c r="J1378" s="36" t="n">
        <f aca="false">F1378*I1378</f>
        <v>20.4</v>
      </c>
      <c r="K1378" s="36" t="n">
        <f aca="false">H1378-J1378</f>
        <v>13.6</v>
      </c>
    </row>
    <row r="1379" customFormat="false" ht="15" hidden="false" customHeight="false" outlineLevel="0" collapsed="false">
      <c r="A1379" s="41" t="n">
        <v>46290</v>
      </c>
      <c r="B1379" s="42" t="n">
        <f aca="false">DATE(YEAR(A1379),MONTH(A1379),1)</f>
        <v>46266</v>
      </c>
      <c r="C1379" s="3" t="s">
        <v>53</v>
      </c>
      <c r="D1379" s="3" t="s">
        <v>54</v>
      </c>
      <c r="E1379" s="3" t="s">
        <v>27</v>
      </c>
      <c r="F1379" s="3" t="n">
        <v>37</v>
      </c>
      <c r="G1379" s="36" t="n">
        <v>0.95</v>
      </c>
      <c r="H1379" s="36" t="n">
        <f aca="false">F1379*G1379</f>
        <v>35.15</v>
      </c>
      <c r="I1379" s="36" t="n">
        <f aca="false">INDEX(Inventory!$D$2:$D$17,MATCH(C1379,Inventory!$A$2:$A$17,0))</f>
        <v>0.55</v>
      </c>
      <c r="J1379" s="36" t="n">
        <f aca="false">F1379*I1379</f>
        <v>20.35</v>
      </c>
      <c r="K1379" s="36" t="n">
        <f aca="false">H1379-J1379</f>
        <v>14.8</v>
      </c>
    </row>
    <row r="1380" customFormat="false" ht="15" hidden="false" customHeight="false" outlineLevel="0" collapsed="false">
      <c r="A1380" s="41" t="n">
        <v>46290</v>
      </c>
      <c r="B1380" s="42" t="n">
        <f aca="false">DATE(YEAR(A1380),MONTH(A1380),1)</f>
        <v>46266</v>
      </c>
      <c r="C1380" s="3" t="s">
        <v>59</v>
      </c>
      <c r="D1380" s="3" t="s">
        <v>60</v>
      </c>
      <c r="E1380" s="3" t="s">
        <v>27</v>
      </c>
      <c r="F1380" s="3" t="n">
        <v>36</v>
      </c>
      <c r="G1380" s="36" t="n">
        <v>0.6</v>
      </c>
      <c r="H1380" s="36" t="n">
        <f aca="false">F1380*G1380</f>
        <v>21.6</v>
      </c>
      <c r="I1380" s="36" t="n">
        <f aca="false">INDEX(Inventory!$D$2:$D$17,MATCH(C1380,Inventory!$A$2:$A$17,0))</f>
        <v>0.3</v>
      </c>
      <c r="J1380" s="36" t="n">
        <f aca="false">F1380*I1380</f>
        <v>10.8</v>
      </c>
      <c r="K1380" s="36" t="n">
        <f aca="false">H1380-J1380</f>
        <v>10.8</v>
      </c>
    </row>
    <row r="1381" customFormat="false" ht="15" hidden="false" customHeight="false" outlineLevel="0" collapsed="false">
      <c r="A1381" s="41" t="n">
        <v>46290</v>
      </c>
      <c r="B1381" s="42" t="n">
        <f aca="false">DATE(YEAR(A1381),MONTH(A1381),1)</f>
        <v>46266</v>
      </c>
      <c r="C1381" s="3" t="s">
        <v>57</v>
      </c>
      <c r="D1381" s="3" t="s">
        <v>58</v>
      </c>
      <c r="E1381" s="3" t="s">
        <v>27</v>
      </c>
      <c r="F1381" s="3" t="n">
        <v>15</v>
      </c>
      <c r="G1381" s="36" t="n">
        <v>1.5</v>
      </c>
      <c r="H1381" s="36" t="n">
        <f aca="false">F1381*G1381</f>
        <v>22.5</v>
      </c>
      <c r="I1381" s="36" t="n">
        <f aca="false">INDEX(Inventory!$D$2:$D$17,MATCH(C1381,Inventory!$A$2:$A$17,0))</f>
        <v>0.9</v>
      </c>
      <c r="J1381" s="36" t="n">
        <f aca="false">F1381*I1381</f>
        <v>13.5</v>
      </c>
      <c r="K1381" s="36" t="n">
        <f aca="false">H1381-J1381</f>
        <v>9</v>
      </c>
    </row>
    <row r="1382" customFormat="false" ht="15" hidden="false" customHeight="false" outlineLevel="0" collapsed="false">
      <c r="A1382" s="41" t="n">
        <v>46290</v>
      </c>
      <c r="B1382" s="42" t="n">
        <f aca="false">DATE(YEAR(A1382),MONTH(A1382),1)</f>
        <v>46266</v>
      </c>
      <c r="C1382" s="3" t="s">
        <v>41</v>
      </c>
      <c r="D1382" s="3" t="s">
        <v>42</v>
      </c>
      <c r="E1382" s="3" t="s">
        <v>28</v>
      </c>
      <c r="F1382" s="3" t="n">
        <v>34</v>
      </c>
      <c r="G1382" s="36" t="n">
        <v>1.3</v>
      </c>
      <c r="H1382" s="36" t="n">
        <f aca="false">F1382*G1382</f>
        <v>44.2</v>
      </c>
      <c r="I1382" s="36" t="n">
        <f aca="false">INDEX(Inventory!$D$2:$D$17,MATCH(C1382,Inventory!$A$2:$A$17,0))</f>
        <v>0.8</v>
      </c>
      <c r="J1382" s="36" t="n">
        <f aca="false">F1382*I1382</f>
        <v>27.2</v>
      </c>
      <c r="K1382" s="36" t="n">
        <f aca="false">H1382-J1382</f>
        <v>17</v>
      </c>
    </row>
    <row r="1383" customFormat="false" ht="15" hidden="false" customHeight="false" outlineLevel="0" collapsed="false">
      <c r="A1383" s="41" t="n">
        <v>46290</v>
      </c>
      <c r="B1383" s="42" t="n">
        <f aca="false">DATE(YEAR(A1383),MONTH(A1383),1)</f>
        <v>46266</v>
      </c>
      <c r="C1383" s="3" t="s">
        <v>63</v>
      </c>
      <c r="D1383" s="3" t="s">
        <v>64</v>
      </c>
      <c r="E1383" s="3" t="s">
        <v>28</v>
      </c>
      <c r="F1383" s="3" t="n">
        <v>15</v>
      </c>
      <c r="G1383" s="36" t="n">
        <v>0.9</v>
      </c>
      <c r="H1383" s="36" t="n">
        <f aca="false">F1383*G1383</f>
        <v>13.5</v>
      </c>
      <c r="I1383" s="36" t="n">
        <f aca="false">INDEX(Inventory!$D$2:$D$17,MATCH(C1383,Inventory!$A$2:$A$17,0))</f>
        <v>0.5</v>
      </c>
      <c r="J1383" s="36" t="n">
        <f aca="false">F1383*I1383</f>
        <v>7.5</v>
      </c>
      <c r="K1383" s="36" t="n">
        <f aca="false">H1383-J1383</f>
        <v>6</v>
      </c>
    </row>
    <row r="1384" customFormat="false" ht="15" hidden="false" customHeight="false" outlineLevel="0" collapsed="false">
      <c r="A1384" s="41" t="n">
        <v>46290</v>
      </c>
      <c r="B1384" s="42" t="n">
        <f aca="false">DATE(YEAR(A1384),MONTH(A1384),1)</f>
        <v>46266</v>
      </c>
      <c r="C1384" s="3" t="s">
        <v>49</v>
      </c>
      <c r="D1384" s="3" t="s">
        <v>50</v>
      </c>
      <c r="E1384" s="3" t="s">
        <v>28</v>
      </c>
      <c r="F1384" s="3" t="n">
        <v>16</v>
      </c>
      <c r="G1384" s="36" t="n">
        <v>1.2</v>
      </c>
      <c r="H1384" s="36" t="n">
        <f aca="false">F1384*G1384</f>
        <v>19.2</v>
      </c>
      <c r="I1384" s="36" t="n">
        <f aca="false">INDEX(Inventory!$D$2:$D$17,MATCH(C1384,Inventory!$A$2:$A$17,0))</f>
        <v>0.7</v>
      </c>
      <c r="J1384" s="36" t="n">
        <f aca="false">F1384*I1384</f>
        <v>11.2</v>
      </c>
      <c r="K1384" s="36" t="n">
        <f aca="false">H1384-J1384</f>
        <v>8</v>
      </c>
    </row>
    <row r="1385" customFormat="false" ht="15" hidden="false" customHeight="false" outlineLevel="0" collapsed="false">
      <c r="A1385" s="41" t="n">
        <v>46290</v>
      </c>
      <c r="B1385" s="42" t="n">
        <f aca="false">DATE(YEAR(A1385),MONTH(A1385),1)</f>
        <v>46266</v>
      </c>
      <c r="C1385" s="3" t="s">
        <v>51</v>
      </c>
      <c r="D1385" s="3" t="s">
        <v>52</v>
      </c>
      <c r="E1385" s="3" t="s">
        <v>28</v>
      </c>
      <c r="F1385" s="3" t="n">
        <v>19</v>
      </c>
      <c r="G1385" s="36" t="n">
        <v>0.85</v>
      </c>
      <c r="H1385" s="36" t="n">
        <f aca="false">F1385*G1385</f>
        <v>16.15</v>
      </c>
      <c r="I1385" s="36" t="n">
        <f aca="false">INDEX(Inventory!$D$2:$D$17,MATCH(C1385,Inventory!$A$2:$A$17,0))</f>
        <v>0.45</v>
      </c>
      <c r="J1385" s="36" t="n">
        <f aca="false">F1385*I1385</f>
        <v>8.55</v>
      </c>
      <c r="K1385" s="36" t="n">
        <f aca="false">H1385-J1385</f>
        <v>7.6</v>
      </c>
    </row>
    <row r="1386" customFormat="false" ht="15" hidden="false" customHeight="false" outlineLevel="0" collapsed="false">
      <c r="A1386" s="41" t="n">
        <v>46290</v>
      </c>
      <c r="B1386" s="42" t="n">
        <f aca="false">DATE(YEAR(A1386),MONTH(A1386),1)</f>
        <v>46266</v>
      </c>
      <c r="C1386" s="3" t="s">
        <v>37</v>
      </c>
      <c r="D1386" s="3" t="s">
        <v>38</v>
      </c>
      <c r="E1386" s="3" t="s">
        <v>26</v>
      </c>
      <c r="F1386" s="3" t="n">
        <v>33</v>
      </c>
      <c r="G1386" s="36" t="n">
        <v>1.2</v>
      </c>
      <c r="H1386" s="36" t="n">
        <f aca="false">F1386*G1386</f>
        <v>39.6</v>
      </c>
      <c r="I1386" s="36" t="n">
        <f aca="false">INDEX(Inventory!$D$2:$D$17,MATCH(C1386,Inventory!$A$2:$A$17,0))</f>
        <v>0.85</v>
      </c>
      <c r="J1386" s="36" t="n">
        <f aca="false">F1386*I1386</f>
        <v>28.05</v>
      </c>
      <c r="K1386" s="36" t="n">
        <f aca="false">H1386-J1386</f>
        <v>11.55</v>
      </c>
    </row>
    <row r="1387" customFormat="false" ht="15" hidden="false" customHeight="false" outlineLevel="0" collapsed="false">
      <c r="A1387" s="41" t="n">
        <v>46290</v>
      </c>
      <c r="B1387" s="42" t="n">
        <f aca="false">DATE(YEAR(A1387),MONTH(A1387),1)</f>
        <v>46266</v>
      </c>
      <c r="C1387" s="3" t="s">
        <v>47</v>
      </c>
      <c r="D1387" s="3" t="s">
        <v>48</v>
      </c>
      <c r="E1387" s="3" t="s">
        <v>26</v>
      </c>
      <c r="F1387" s="3" t="n">
        <v>14</v>
      </c>
      <c r="G1387" s="36" t="n">
        <v>2.2</v>
      </c>
      <c r="H1387" s="36" t="n">
        <f aca="false">F1387*G1387</f>
        <v>30.8</v>
      </c>
      <c r="I1387" s="36" t="n">
        <f aca="false">INDEX(Inventory!$D$2:$D$17,MATCH(C1387,Inventory!$A$2:$A$17,0))</f>
        <v>1.4</v>
      </c>
      <c r="J1387" s="36" t="n">
        <f aca="false">F1387*I1387</f>
        <v>19.6</v>
      </c>
      <c r="K1387" s="36" t="n">
        <f aca="false">H1387-J1387</f>
        <v>11.2</v>
      </c>
    </row>
    <row r="1388" customFormat="false" ht="15" hidden="false" customHeight="false" outlineLevel="0" collapsed="false">
      <c r="A1388" s="41" t="n">
        <v>46290</v>
      </c>
      <c r="B1388" s="42" t="n">
        <f aca="false">DATE(YEAR(A1388),MONTH(A1388),1)</f>
        <v>46266</v>
      </c>
      <c r="C1388" s="3" t="s">
        <v>43</v>
      </c>
      <c r="D1388" s="3" t="s">
        <v>44</v>
      </c>
      <c r="E1388" s="3" t="s">
        <v>26</v>
      </c>
      <c r="F1388" s="3" t="n">
        <v>10</v>
      </c>
      <c r="G1388" s="36" t="n">
        <v>3.8</v>
      </c>
      <c r="H1388" s="36" t="n">
        <f aca="false">F1388*G1388</f>
        <v>38</v>
      </c>
      <c r="I1388" s="36" t="n">
        <f aca="false">INDEX(Inventory!$D$2:$D$17,MATCH(C1388,Inventory!$A$2:$A$17,0))</f>
        <v>2.6</v>
      </c>
      <c r="J1388" s="36" t="n">
        <f aca="false">F1388*I1388</f>
        <v>26</v>
      </c>
      <c r="K1388" s="36" t="n">
        <f aca="false">H1388-J1388</f>
        <v>12</v>
      </c>
    </row>
    <row r="1389" customFormat="false" ht="15" hidden="false" customHeight="false" outlineLevel="0" collapsed="false">
      <c r="A1389" s="41" t="n">
        <v>46290</v>
      </c>
      <c r="B1389" s="42" t="n">
        <f aca="false">DATE(YEAR(A1389),MONTH(A1389),1)</f>
        <v>46266</v>
      </c>
      <c r="C1389" s="3" t="s">
        <v>67</v>
      </c>
      <c r="D1389" s="3" t="s">
        <v>68</v>
      </c>
      <c r="E1389" s="3" t="s">
        <v>26</v>
      </c>
      <c r="F1389" s="3" t="n">
        <v>5</v>
      </c>
      <c r="G1389" s="36" t="n">
        <v>1.9</v>
      </c>
      <c r="H1389" s="36" t="n">
        <f aca="false">F1389*G1389</f>
        <v>9.5</v>
      </c>
      <c r="I1389" s="36" t="n">
        <f aca="false">INDEX(Inventory!$D$2:$D$17,MATCH(C1389,Inventory!$A$2:$A$17,0))</f>
        <v>1.3</v>
      </c>
      <c r="J1389" s="36" t="n">
        <f aca="false">F1389*I1389</f>
        <v>6.5</v>
      </c>
      <c r="K1389" s="36" t="n">
        <f aca="false">H1389-J1389</f>
        <v>3</v>
      </c>
    </row>
    <row r="1390" customFormat="false" ht="15" hidden="false" customHeight="false" outlineLevel="0" collapsed="false">
      <c r="A1390" s="41" t="n">
        <v>46290</v>
      </c>
      <c r="B1390" s="42" t="n">
        <f aca="false">DATE(YEAR(A1390),MONTH(A1390),1)</f>
        <v>46266</v>
      </c>
      <c r="C1390" s="3" t="s">
        <v>61</v>
      </c>
      <c r="D1390" s="3" t="s">
        <v>62</v>
      </c>
      <c r="E1390" s="3" t="s">
        <v>29</v>
      </c>
      <c r="F1390" s="3" t="n">
        <v>13</v>
      </c>
      <c r="G1390" s="36" t="n">
        <v>1.9</v>
      </c>
      <c r="H1390" s="36" t="n">
        <f aca="false">F1390*G1390</f>
        <v>24.7</v>
      </c>
      <c r="I1390" s="36" t="n">
        <f aca="false">INDEX(Inventory!$D$2:$D$17,MATCH(C1390,Inventory!$A$2:$A$17,0))</f>
        <v>1.1</v>
      </c>
      <c r="J1390" s="36" t="n">
        <f aca="false">F1390*I1390</f>
        <v>14.3</v>
      </c>
      <c r="K1390" s="36" t="n">
        <f aca="false">H1390-J1390</f>
        <v>10.4</v>
      </c>
    </row>
    <row r="1391" customFormat="false" ht="15" hidden="false" customHeight="false" outlineLevel="0" collapsed="false">
      <c r="A1391" s="41" t="n">
        <v>46290</v>
      </c>
      <c r="B1391" s="42" t="n">
        <f aca="false">DATE(YEAR(A1391),MONTH(A1391),1)</f>
        <v>46266</v>
      </c>
      <c r="C1391" s="3" t="s">
        <v>45</v>
      </c>
      <c r="D1391" s="3" t="s">
        <v>46</v>
      </c>
      <c r="E1391" s="3" t="s">
        <v>29</v>
      </c>
      <c r="F1391" s="3" t="n">
        <v>8</v>
      </c>
      <c r="G1391" s="36" t="n">
        <v>5.2</v>
      </c>
      <c r="H1391" s="36" t="n">
        <f aca="false">F1391*G1391</f>
        <v>41.6</v>
      </c>
      <c r="I1391" s="36" t="n">
        <f aca="false">INDEX(Inventory!$D$2:$D$17,MATCH(C1391,Inventory!$A$2:$A$17,0))</f>
        <v>3.5</v>
      </c>
      <c r="J1391" s="36" t="n">
        <f aca="false">F1391*I1391</f>
        <v>28</v>
      </c>
      <c r="K1391" s="36" t="n">
        <f aca="false">H1391-J1391</f>
        <v>13.6</v>
      </c>
    </row>
    <row r="1392" customFormat="false" ht="15" hidden="false" customHeight="false" outlineLevel="0" collapsed="false">
      <c r="A1392" s="41" t="n">
        <v>46290</v>
      </c>
      <c r="B1392" s="42" t="n">
        <f aca="false">DATE(YEAR(A1392),MONTH(A1392),1)</f>
        <v>46266</v>
      </c>
      <c r="C1392" s="3" t="s">
        <v>65</v>
      </c>
      <c r="D1392" s="3" t="s">
        <v>66</v>
      </c>
      <c r="E1392" s="3" t="s">
        <v>29</v>
      </c>
      <c r="F1392" s="3" t="n">
        <v>10</v>
      </c>
      <c r="G1392" s="36" t="n">
        <v>1.5</v>
      </c>
      <c r="H1392" s="36" t="n">
        <f aca="false">F1392*G1392</f>
        <v>15</v>
      </c>
      <c r="I1392" s="36" t="n">
        <f aca="false">INDEX(Inventory!$D$2:$D$17,MATCH(C1392,Inventory!$A$2:$A$17,0))</f>
        <v>0.9</v>
      </c>
      <c r="J1392" s="36" t="n">
        <f aca="false">F1392*I1392</f>
        <v>9</v>
      </c>
      <c r="K1392" s="36" t="n">
        <f aca="false">H1392-J1392</f>
        <v>6</v>
      </c>
    </row>
    <row r="1393" customFormat="false" ht="15" hidden="false" customHeight="false" outlineLevel="0" collapsed="false">
      <c r="A1393" s="41" t="n">
        <v>46290</v>
      </c>
      <c r="B1393" s="42" t="n">
        <f aca="false">DATE(YEAR(A1393),MONTH(A1393),1)</f>
        <v>46266</v>
      </c>
      <c r="C1393" s="3" t="s">
        <v>55</v>
      </c>
      <c r="D1393" s="3" t="s">
        <v>56</v>
      </c>
      <c r="E1393" s="3" t="s">
        <v>29</v>
      </c>
      <c r="F1393" s="3" t="n">
        <v>9</v>
      </c>
      <c r="G1393" s="36" t="n">
        <v>2.5</v>
      </c>
      <c r="H1393" s="36" t="n">
        <f aca="false">F1393*G1393</f>
        <v>22.5</v>
      </c>
      <c r="I1393" s="36" t="n">
        <f aca="false">INDEX(Inventory!$D$2:$D$17,MATCH(C1393,Inventory!$A$2:$A$17,0))</f>
        <v>1.6</v>
      </c>
      <c r="J1393" s="36" t="n">
        <f aca="false">F1393*I1393</f>
        <v>14.4</v>
      </c>
      <c r="K1393" s="36" t="n">
        <f aca="false">H1393-J1393</f>
        <v>8.1</v>
      </c>
    </row>
    <row r="1394" customFormat="false" ht="15" hidden="false" customHeight="false" outlineLevel="0" collapsed="false">
      <c r="A1394" s="41" t="n">
        <v>46291</v>
      </c>
      <c r="B1394" s="42" t="n">
        <f aca="false">DATE(YEAR(A1394),MONTH(A1394),1)</f>
        <v>46266</v>
      </c>
      <c r="C1394" s="3" t="s">
        <v>39</v>
      </c>
      <c r="D1394" s="3" t="s">
        <v>40</v>
      </c>
      <c r="E1394" s="3" t="s">
        <v>27</v>
      </c>
      <c r="F1394" s="3" t="n">
        <v>42</v>
      </c>
      <c r="G1394" s="36" t="n">
        <v>1</v>
      </c>
      <c r="H1394" s="36" t="n">
        <f aca="false">F1394*G1394</f>
        <v>42</v>
      </c>
      <c r="I1394" s="36" t="n">
        <f aca="false">INDEX(Inventory!$D$2:$D$17,MATCH(C1394,Inventory!$A$2:$A$17,0))</f>
        <v>0.6</v>
      </c>
      <c r="J1394" s="36" t="n">
        <f aca="false">F1394*I1394</f>
        <v>25.2</v>
      </c>
      <c r="K1394" s="36" t="n">
        <f aca="false">H1394-J1394</f>
        <v>16.8</v>
      </c>
    </row>
    <row r="1395" customFormat="false" ht="15" hidden="false" customHeight="false" outlineLevel="0" collapsed="false">
      <c r="A1395" s="41" t="n">
        <v>46291</v>
      </c>
      <c r="B1395" s="42" t="n">
        <f aca="false">DATE(YEAR(A1395),MONTH(A1395),1)</f>
        <v>46266</v>
      </c>
      <c r="C1395" s="3" t="s">
        <v>53</v>
      </c>
      <c r="D1395" s="3" t="s">
        <v>54</v>
      </c>
      <c r="E1395" s="3" t="s">
        <v>27</v>
      </c>
      <c r="F1395" s="3" t="n">
        <v>28</v>
      </c>
      <c r="G1395" s="36" t="n">
        <v>0.95</v>
      </c>
      <c r="H1395" s="36" t="n">
        <f aca="false">F1395*G1395</f>
        <v>26.6</v>
      </c>
      <c r="I1395" s="36" t="n">
        <f aca="false">INDEX(Inventory!$D$2:$D$17,MATCH(C1395,Inventory!$A$2:$A$17,0))</f>
        <v>0.55</v>
      </c>
      <c r="J1395" s="36" t="n">
        <f aca="false">F1395*I1395</f>
        <v>15.4</v>
      </c>
      <c r="K1395" s="36" t="n">
        <f aca="false">H1395-J1395</f>
        <v>11.2</v>
      </c>
    </row>
    <row r="1396" customFormat="false" ht="15" hidden="false" customHeight="false" outlineLevel="0" collapsed="false">
      <c r="A1396" s="41" t="n">
        <v>46291</v>
      </c>
      <c r="B1396" s="42" t="n">
        <f aca="false">DATE(YEAR(A1396),MONTH(A1396),1)</f>
        <v>46266</v>
      </c>
      <c r="C1396" s="3" t="s">
        <v>59</v>
      </c>
      <c r="D1396" s="3" t="s">
        <v>60</v>
      </c>
      <c r="E1396" s="3" t="s">
        <v>27</v>
      </c>
      <c r="F1396" s="3" t="n">
        <v>49</v>
      </c>
      <c r="G1396" s="36" t="n">
        <v>0.6</v>
      </c>
      <c r="H1396" s="36" t="n">
        <f aca="false">F1396*G1396</f>
        <v>29.4</v>
      </c>
      <c r="I1396" s="36" t="n">
        <f aca="false">INDEX(Inventory!$D$2:$D$17,MATCH(C1396,Inventory!$A$2:$A$17,0))</f>
        <v>0.3</v>
      </c>
      <c r="J1396" s="36" t="n">
        <f aca="false">F1396*I1396</f>
        <v>14.7</v>
      </c>
      <c r="K1396" s="36" t="n">
        <f aca="false">H1396-J1396</f>
        <v>14.7</v>
      </c>
    </row>
    <row r="1397" customFormat="false" ht="15" hidden="false" customHeight="false" outlineLevel="0" collapsed="false">
      <c r="A1397" s="41" t="n">
        <v>46291</v>
      </c>
      <c r="B1397" s="42" t="n">
        <f aca="false">DATE(YEAR(A1397),MONTH(A1397),1)</f>
        <v>46266</v>
      </c>
      <c r="C1397" s="3" t="s">
        <v>57</v>
      </c>
      <c r="D1397" s="3" t="s">
        <v>58</v>
      </c>
      <c r="E1397" s="3" t="s">
        <v>27</v>
      </c>
      <c r="F1397" s="3" t="n">
        <v>14</v>
      </c>
      <c r="G1397" s="36" t="n">
        <v>1.5</v>
      </c>
      <c r="H1397" s="36" t="n">
        <f aca="false">F1397*G1397</f>
        <v>21</v>
      </c>
      <c r="I1397" s="36" t="n">
        <f aca="false">INDEX(Inventory!$D$2:$D$17,MATCH(C1397,Inventory!$A$2:$A$17,0))</f>
        <v>0.9</v>
      </c>
      <c r="J1397" s="36" t="n">
        <f aca="false">F1397*I1397</f>
        <v>12.6</v>
      </c>
      <c r="K1397" s="36" t="n">
        <f aca="false">H1397-J1397</f>
        <v>8.4</v>
      </c>
    </row>
    <row r="1398" customFormat="false" ht="15" hidden="false" customHeight="false" outlineLevel="0" collapsed="false">
      <c r="A1398" s="41" t="n">
        <v>46291</v>
      </c>
      <c r="B1398" s="42" t="n">
        <f aca="false">DATE(YEAR(A1398),MONTH(A1398),1)</f>
        <v>46266</v>
      </c>
      <c r="C1398" s="3" t="s">
        <v>41</v>
      </c>
      <c r="D1398" s="3" t="s">
        <v>42</v>
      </c>
      <c r="E1398" s="3" t="s">
        <v>28</v>
      </c>
      <c r="F1398" s="3" t="n">
        <v>28</v>
      </c>
      <c r="G1398" s="36" t="n">
        <v>1.3</v>
      </c>
      <c r="H1398" s="36" t="n">
        <f aca="false">F1398*G1398</f>
        <v>36.4</v>
      </c>
      <c r="I1398" s="36" t="n">
        <f aca="false">INDEX(Inventory!$D$2:$D$17,MATCH(C1398,Inventory!$A$2:$A$17,0))</f>
        <v>0.8</v>
      </c>
      <c r="J1398" s="36" t="n">
        <f aca="false">F1398*I1398</f>
        <v>22.4</v>
      </c>
      <c r="K1398" s="36" t="n">
        <f aca="false">H1398-J1398</f>
        <v>14</v>
      </c>
    </row>
    <row r="1399" customFormat="false" ht="15" hidden="false" customHeight="false" outlineLevel="0" collapsed="false">
      <c r="A1399" s="41" t="n">
        <v>46291</v>
      </c>
      <c r="B1399" s="42" t="n">
        <f aca="false">DATE(YEAR(A1399),MONTH(A1399),1)</f>
        <v>46266</v>
      </c>
      <c r="C1399" s="3" t="s">
        <v>63</v>
      </c>
      <c r="D1399" s="3" t="s">
        <v>64</v>
      </c>
      <c r="E1399" s="3" t="s">
        <v>28</v>
      </c>
      <c r="F1399" s="3" t="n">
        <v>16</v>
      </c>
      <c r="G1399" s="36" t="n">
        <v>0.9</v>
      </c>
      <c r="H1399" s="36" t="n">
        <f aca="false">F1399*G1399</f>
        <v>14.4</v>
      </c>
      <c r="I1399" s="36" t="n">
        <f aca="false">INDEX(Inventory!$D$2:$D$17,MATCH(C1399,Inventory!$A$2:$A$17,0))</f>
        <v>0.5</v>
      </c>
      <c r="J1399" s="36" t="n">
        <f aca="false">F1399*I1399</f>
        <v>8</v>
      </c>
      <c r="K1399" s="36" t="n">
        <f aca="false">H1399-J1399</f>
        <v>6.4</v>
      </c>
    </row>
    <row r="1400" customFormat="false" ht="15" hidden="false" customHeight="false" outlineLevel="0" collapsed="false">
      <c r="A1400" s="41" t="n">
        <v>46291</v>
      </c>
      <c r="B1400" s="42" t="n">
        <f aca="false">DATE(YEAR(A1400),MONTH(A1400),1)</f>
        <v>46266</v>
      </c>
      <c r="C1400" s="3" t="s">
        <v>49</v>
      </c>
      <c r="D1400" s="3" t="s">
        <v>50</v>
      </c>
      <c r="E1400" s="3" t="s">
        <v>28</v>
      </c>
      <c r="F1400" s="3" t="n">
        <v>26</v>
      </c>
      <c r="G1400" s="36" t="n">
        <v>1.2</v>
      </c>
      <c r="H1400" s="36" t="n">
        <f aca="false">F1400*G1400</f>
        <v>31.2</v>
      </c>
      <c r="I1400" s="36" t="n">
        <f aca="false">INDEX(Inventory!$D$2:$D$17,MATCH(C1400,Inventory!$A$2:$A$17,0))</f>
        <v>0.7</v>
      </c>
      <c r="J1400" s="36" t="n">
        <f aca="false">F1400*I1400</f>
        <v>18.2</v>
      </c>
      <c r="K1400" s="36" t="n">
        <f aca="false">H1400-J1400</f>
        <v>13</v>
      </c>
    </row>
    <row r="1401" customFormat="false" ht="15" hidden="false" customHeight="false" outlineLevel="0" collapsed="false">
      <c r="A1401" s="41" t="n">
        <v>46291</v>
      </c>
      <c r="B1401" s="42" t="n">
        <f aca="false">DATE(YEAR(A1401),MONTH(A1401),1)</f>
        <v>46266</v>
      </c>
      <c r="C1401" s="3" t="s">
        <v>51</v>
      </c>
      <c r="D1401" s="3" t="s">
        <v>52</v>
      </c>
      <c r="E1401" s="3" t="s">
        <v>28</v>
      </c>
      <c r="F1401" s="3" t="n">
        <v>35</v>
      </c>
      <c r="G1401" s="36" t="n">
        <v>0.85</v>
      </c>
      <c r="H1401" s="36" t="n">
        <f aca="false">F1401*G1401</f>
        <v>29.75</v>
      </c>
      <c r="I1401" s="36" t="n">
        <f aca="false">INDEX(Inventory!$D$2:$D$17,MATCH(C1401,Inventory!$A$2:$A$17,0))</f>
        <v>0.45</v>
      </c>
      <c r="J1401" s="36" t="n">
        <f aca="false">F1401*I1401</f>
        <v>15.75</v>
      </c>
      <c r="K1401" s="36" t="n">
        <f aca="false">H1401-J1401</f>
        <v>14</v>
      </c>
    </row>
    <row r="1402" customFormat="false" ht="15" hidden="false" customHeight="false" outlineLevel="0" collapsed="false">
      <c r="A1402" s="41" t="n">
        <v>46291</v>
      </c>
      <c r="B1402" s="42" t="n">
        <f aca="false">DATE(YEAR(A1402),MONTH(A1402),1)</f>
        <v>46266</v>
      </c>
      <c r="C1402" s="3" t="s">
        <v>37</v>
      </c>
      <c r="D1402" s="3" t="s">
        <v>38</v>
      </c>
      <c r="E1402" s="3" t="s">
        <v>26</v>
      </c>
      <c r="F1402" s="3" t="n">
        <v>34</v>
      </c>
      <c r="G1402" s="36" t="n">
        <v>1.2</v>
      </c>
      <c r="H1402" s="36" t="n">
        <f aca="false">F1402*G1402</f>
        <v>40.8</v>
      </c>
      <c r="I1402" s="36" t="n">
        <f aca="false">INDEX(Inventory!$D$2:$D$17,MATCH(C1402,Inventory!$A$2:$A$17,0))</f>
        <v>0.85</v>
      </c>
      <c r="J1402" s="36" t="n">
        <f aca="false">F1402*I1402</f>
        <v>28.9</v>
      </c>
      <c r="K1402" s="36" t="n">
        <f aca="false">H1402-J1402</f>
        <v>11.9</v>
      </c>
    </row>
    <row r="1403" customFormat="false" ht="15" hidden="false" customHeight="false" outlineLevel="0" collapsed="false">
      <c r="A1403" s="41" t="n">
        <v>46291</v>
      </c>
      <c r="B1403" s="42" t="n">
        <f aca="false">DATE(YEAR(A1403),MONTH(A1403),1)</f>
        <v>46266</v>
      </c>
      <c r="C1403" s="3" t="s">
        <v>47</v>
      </c>
      <c r="D1403" s="3" t="s">
        <v>48</v>
      </c>
      <c r="E1403" s="3" t="s">
        <v>26</v>
      </c>
      <c r="F1403" s="3" t="n">
        <v>15</v>
      </c>
      <c r="G1403" s="36" t="n">
        <v>2.2</v>
      </c>
      <c r="H1403" s="36" t="n">
        <f aca="false">F1403*G1403</f>
        <v>33</v>
      </c>
      <c r="I1403" s="36" t="n">
        <f aca="false">INDEX(Inventory!$D$2:$D$17,MATCH(C1403,Inventory!$A$2:$A$17,0))</f>
        <v>1.4</v>
      </c>
      <c r="J1403" s="36" t="n">
        <f aca="false">F1403*I1403</f>
        <v>21</v>
      </c>
      <c r="K1403" s="36" t="n">
        <f aca="false">H1403-J1403</f>
        <v>12</v>
      </c>
    </row>
    <row r="1404" customFormat="false" ht="15" hidden="false" customHeight="false" outlineLevel="0" collapsed="false">
      <c r="A1404" s="41" t="n">
        <v>46291</v>
      </c>
      <c r="B1404" s="42" t="n">
        <f aca="false">DATE(YEAR(A1404),MONTH(A1404),1)</f>
        <v>46266</v>
      </c>
      <c r="C1404" s="3" t="s">
        <v>43</v>
      </c>
      <c r="D1404" s="3" t="s">
        <v>44</v>
      </c>
      <c r="E1404" s="3" t="s">
        <v>26</v>
      </c>
      <c r="F1404" s="3" t="n">
        <v>7</v>
      </c>
      <c r="G1404" s="36" t="n">
        <v>3.8</v>
      </c>
      <c r="H1404" s="36" t="n">
        <f aca="false">F1404*G1404</f>
        <v>26.6</v>
      </c>
      <c r="I1404" s="36" t="n">
        <f aca="false">INDEX(Inventory!$D$2:$D$17,MATCH(C1404,Inventory!$A$2:$A$17,0))</f>
        <v>2.6</v>
      </c>
      <c r="J1404" s="36" t="n">
        <f aca="false">F1404*I1404</f>
        <v>18.2</v>
      </c>
      <c r="K1404" s="36" t="n">
        <f aca="false">H1404-J1404</f>
        <v>8.4</v>
      </c>
    </row>
    <row r="1405" customFormat="false" ht="15" hidden="false" customHeight="false" outlineLevel="0" collapsed="false">
      <c r="A1405" s="41" t="n">
        <v>46291</v>
      </c>
      <c r="B1405" s="42" t="n">
        <f aca="false">DATE(YEAR(A1405),MONTH(A1405),1)</f>
        <v>46266</v>
      </c>
      <c r="C1405" s="3" t="s">
        <v>67</v>
      </c>
      <c r="D1405" s="3" t="s">
        <v>68</v>
      </c>
      <c r="E1405" s="3" t="s">
        <v>26</v>
      </c>
      <c r="F1405" s="3" t="n">
        <v>10</v>
      </c>
      <c r="G1405" s="36" t="n">
        <v>1.9</v>
      </c>
      <c r="H1405" s="36" t="n">
        <f aca="false">F1405*G1405</f>
        <v>19</v>
      </c>
      <c r="I1405" s="36" t="n">
        <f aca="false">INDEX(Inventory!$D$2:$D$17,MATCH(C1405,Inventory!$A$2:$A$17,0))</f>
        <v>1.3</v>
      </c>
      <c r="J1405" s="36" t="n">
        <f aca="false">F1405*I1405</f>
        <v>13</v>
      </c>
      <c r="K1405" s="36" t="n">
        <f aca="false">H1405-J1405</f>
        <v>6</v>
      </c>
    </row>
    <row r="1406" customFormat="false" ht="15" hidden="false" customHeight="false" outlineLevel="0" collapsed="false">
      <c r="A1406" s="41" t="n">
        <v>46291</v>
      </c>
      <c r="B1406" s="42" t="n">
        <f aca="false">DATE(YEAR(A1406),MONTH(A1406),1)</f>
        <v>46266</v>
      </c>
      <c r="C1406" s="3" t="s">
        <v>61</v>
      </c>
      <c r="D1406" s="3" t="s">
        <v>62</v>
      </c>
      <c r="E1406" s="3" t="s">
        <v>29</v>
      </c>
      <c r="F1406" s="3" t="n">
        <v>12</v>
      </c>
      <c r="G1406" s="36" t="n">
        <v>1.9</v>
      </c>
      <c r="H1406" s="36" t="n">
        <f aca="false">F1406*G1406</f>
        <v>22.8</v>
      </c>
      <c r="I1406" s="36" t="n">
        <f aca="false">INDEX(Inventory!$D$2:$D$17,MATCH(C1406,Inventory!$A$2:$A$17,0))</f>
        <v>1.1</v>
      </c>
      <c r="J1406" s="36" t="n">
        <f aca="false">F1406*I1406</f>
        <v>13.2</v>
      </c>
      <c r="K1406" s="36" t="n">
        <f aca="false">H1406-J1406</f>
        <v>9.6</v>
      </c>
    </row>
    <row r="1407" customFormat="false" ht="15" hidden="false" customHeight="false" outlineLevel="0" collapsed="false">
      <c r="A1407" s="41" t="n">
        <v>46291</v>
      </c>
      <c r="B1407" s="42" t="n">
        <f aca="false">DATE(YEAR(A1407),MONTH(A1407),1)</f>
        <v>46266</v>
      </c>
      <c r="C1407" s="3" t="s">
        <v>45</v>
      </c>
      <c r="D1407" s="3" t="s">
        <v>46</v>
      </c>
      <c r="E1407" s="3" t="s">
        <v>29</v>
      </c>
      <c r="F1407" s="3" t="n">
        <v>7</v>
      </c>
      <c r="G1407" s="36" t="n">
        <v>5.2</v>
      </c>
      <c r="H1407" s="36" t="n">
        <f aca="false">F1407*G1407</f>
        <v>36.4</v>
      </c>
      <c r="I1407" s="36" t="n">
        <f aca="false">INDEX(Inventory!$D$2:$D$17,MATCH(C1407,Inventory!$A$2:$A$17,0))</f>
        <v>3.5</v>
      </c>
      <c r="J1407" s="36" t="n">
        <f aca="false">F1407*I1407</f>
        <v>24.5</v>
      </c>
      <c r="K1407" s="36" t="n">
        <f aca="false">H1407-J1407</f>
        <v>11.9</v>
      </c>
    </row>
    <row r="1408" customFormat="false" ht="15" hidden="false" customHeight="false" outlineLevel="0" collapsed="false">
      <c r="A1408" s="41" t="n">
        <v>46291</v>
      </c>
      <c r="B1408" s="42" t="n">
        <f aca="false">DATE(YEAR(A1408),MONTH(A1408),1)</f>
        <v>46266</v>
      </c>
      <c r="C1408" s="3" t="s">
        <v>65</v>
      </c>
      <c r="D1408" s="3" t="s">
        <v>66</v>
      </c>
      <c r="E1408" s="3" t="s">
        <v>29</v>
      </c>
      <c r="F1408" s="3" t="n">
        <v>14</v>
      </c>
      <c r="G1408" s="36" t="n">
        <v>1.5</v>
      </c>
      <c r="H1408" s="36" t="n">
        <f aca="false">F1408*G1408</f>
        <v>21</v>
      </c>
      <c r="I1408" s="36" t="n">
        <f aca="false">INDEX(Inventory!$D$2:$D$17,MATCH(C1408,Inventory!$A$2:$A$17,0))</f>
        <v>0.9</v>
      </c>
      <c r="J1408" s="36" t="n">
        <f aca="false">F1408*I1408</f>
        <v>12.6</v>
      </c>
      <c r="K1408" s="36" t="n">
        <f aca="false">H1408-J1408</f>
        <v>8.4</v>
      </c>
    </row>
    <row r="1409" customFormat="false" ht="15" hidden="false" customHeight="false" outlineLevel="0" collapsed="false">
      <c r="A1409" s="41" t="n">
        <v>46291</v>
      </c>
      <c r="B1409" s="42" t="n">
        <f aca="false">DATE(YEAR(A1409),MONTH(A1409),1)</f>
        <v>46266</v>
      </c>
      <c r="C1409" s="3" t="s">
        <v>55</v>
      </c>
      <c r="D1409" s="3" t="s">
        <v>56</v>
      </c>
      <c r="E1409" s="3" t="s">
        <v>29</v>
      </c>
      <c r="F1409" s="3" t="n">
        <v>9</v>
      </c>
      <c r="G1409" s="36" t="n">
        <v>2.5</v>
      </c>
      <c r="H1409" s="36" t="n">
        <f aca="false">F1409*G1409</f>
        <v>22.5</v>
      </c>
      <c r="I1409" s="36" t="n">
        <f aca="false">INDEX(Inventory!$D$2:$D$17,MATCH(C1409,Inventory!$A$2:$A$17,0))</f>
        <v>1.6</v>
      </c>
      <c r="J1409" s="36" t="n">
        <f aca="false">F1409*I1409</f>
        <v>14.4</v>
      </c>
      <c r="K1409" s="36" t="n">
        <f aca="false">H1409-J1409</f>
        <v>8.1</v>
      </c>
    </row>
    <row r="1410" customFormat="false" ht="15" hidden="false" customHeight="false" outlineLevel="0" collapsed="false">
      <c r="A1410" s="41" t="n">
        <v>46292</v>
      </c>
      <c r="B1410" s="42" t="n">
        <f aca="false">DATE(YEAR(A1410),MONTH(A1410),1)</f>
        <v>46266</v>
      </c>
      <c r="C1410" s="3" t="s">
        <v>39</v>
      </c>
      <c r="D1410" s="3" t="s">
        <v>40</v>
      </c>
      <c r="E1410" s="3" t="s">
        <v>27</v>
      </c>
      <c r="F1410" s="3" t="n">
        <v>44</v>
      </c>
      <c r="G1410" s="36" t="n">
        <v>1</v>
      </c>
      <c r="H1410" s="36" t="n">
        <f aca="false">F1410*G1410</f>
        <v>44</v>
      </c>
      <c r="I1410" s="36" t="n">
        <f aca="false">INDEX(Inventory!$D$2:$D$17,MATCH(C1410,Inventory!$A$2:$A$17,0))</f>
        <v>0.6</v>
      </c>
      <c r="J1410" s="36" t="n">
        <f aca="false">F1410*I1410</f>
        <v>26.4</v>
      </c>
      <c r="K1410" s="36" t="n">
        <f aca="false">H1410-J1410</f>
        <v>17.6</v>
      </c>
    </row>
    <row r="1411" customFormat="false" ht="15" hidden="false" customHeight="false" outlineLevel="0" collapsed="false">
      <c r="A1411" s="41" t="n">
        <v>46292</v>
      </c>
      <c r="B1411" s="42" t="n">
        <f aca="false">DATE(YEAR(A1411),MONTH(A1411),1)</f>
        <v>46266</v>
      </c>
      <c r="C1411" s="3" t="s">
        <v>53</v>
      </c>
      <c r="D1411" s="3" t="s">
        <v>54</v>
      </c>
      <c r="E1411" s="3" t="s">
        <v>27</v>
      </c>
      <c r="F1411" s="3" t="n">
        <v>26</v>
      </c>
      <c r="G1411" s="36" t="n">
        <v>0.95</v>
      </c>
      <c r="H1411" s="36" t="n">
        <f aca="false">F1411*G1411</f>
        <v>24.7</v>
      </c>
      <c r="I1411" s="36" t="n">
        <f aca="false">INDEX(Inventory!$D$2:$D$17,MATCH(C1411,Inventory!$A$2:$A$17,0))</f>
        <v>0.55</v>
      </c>
      <c r="J1411" s="36" t="n">
        <f aca="false">F1411*I1411</f>
        <v>14.3</v>
      </c>
      <c r="K1411" s="36" t="n">
        <f aca="false">H1411-J1411</f>
        <v>10.4</v>
      </c>
    </row>
    <row r="1412" customFormat="false" ht="15" hidden="false" customHeight="false" outlineLevel="0" collapsed="false">
      <c r="A1412" s="41" t="n">
        <v>46292</v>
      </c>
      <c r="B1412" s="42" t="n">
        <f aca="false">DATE(YEAR(A1412),MONTH(A1412),1)</f>
        <v>46266</v>
      </c>
      <c r="C1412" s="3" t="s">
        <v>59</v>
      </c>
      <c r="D1412" s="3" t="s">
        <v>60</v>
      </c>
      <c r="E1412" s="3" t="s">
        <v>27</v>
      </c>
      <c r="F1412" s="3" t="n">
        <v>42</v>
      </c>
      <c r="G1412" s="36" t="n">
        <v>0.6</v>
      </c>
      <c r="H1412" s="36" t="n">
        <f aca="false">F1412*G1412</f>
        <v>25.2</v>
      </c>
      <c r="I1412" s="36" t="n">
        <f aca="false">INDEX(Inventory!$D$2:$D$17,MATCH(C1412,Inventory!$A$2:$A$17,0))</f>
        <v>0.3</v>
      </c>
      <c r="J1412" s="36" t="n">
        <f aca="false">F1412*I1412</f>
        <v>12.6</v>
      </c>
      <c r="K1412" s="36" t="n">
        <f aca="false">H1412-J1412</f>
        <v>12.6</v>
      </c>
    </row>
    <row r="1413" customFormat="false" ht="15" hidden="false" customHeight="false" outlineLevel="0" collapsed="false">
      <c r="A1413" s="41" t="n">
        <v>46292</v>
      </c>
      <c r="B1413" s="42" t="n">
        <f aca="false">DATE(YEAR(A1413),MONTH(A1413),1)</f>
        <v>46266</v>
      </c>
      <c r="C1413" s="3" t="s">
        <v>57</v>
      </c>
      <c r="D1413" s="3" t="s">
        <v>58</v>
      </c>
      <c r="E1413" s="3" t="s">
        <v>27</v>
      </c>
      <c r="F1413" s="3" t="n">
        <v>19</v>
      </c>
      <c r="G1413" s="36" t="n">
        <v>1.5</v>
      </c>
      <c r="H1413" s="36" t="n">
        <f aca="false">F1413*G1413</f>
        <v>28.5</v>
      </c>
      <c r="I1413" s="36" t="n">
        <f aca="false">INDEX(Inventory!$D$2:$D$17,MATCH(C1413,Inventory!$A$2:$A$17,0))</f>
        <v>0.9</v>
      </c>
      <c r="J1413" s="36" t="n">
        <f aca="false">F1413*I1413</f>
        <v>17.1</v>
      </c>
      <c r="K1413" s="36" t="n">
        <f aca="false">H1413-J1413</f>
        <v>11.4</v>
      </c>
    </row>
    <row r="1414" customFormat="false" ht="15" hidden="false" customHeight="false" outlineLevel="0" collapsed="false">
      <c r="A1414" s="41" t="n">
        <v>46292</v>
      </c>
      <c r="B1414" s="42" t="n">
        <f aca="false">DATE(YEAR(A1414),MONTH(A1414),1)</f>
        <v>46266</v>
      </c>
      <c r="C1414" s="3" t="s">
        <v>41</v>
      </c>
      <c r="D1414" s="3" t="s">
        <v>42</v>
      </c>
      <c r="E1414" s="3" t="s">
        <v>28</v>
      </c>
      <c r="F1414" s="3" t="n">
        <v>22</v>
      </c>
      <c r="G1414" s="36" t="n">
        <v>1.3</v>
      </c>
      <c r="H1414" s="36" t="n">
        <f aca="false">F1414*G1414</f>
        <v>28.6</v>
      </c>
      <c r="I1414" s="36" t="n">
        <f aca="false">INDEX(Inventory!$D$2:$D$17,MATCH(C1414,Inventory!$A$2:$A$17,0))</f>
        <v>0.8</v>
      </c>
      <c r="J1414" s="36" t="n">
        <f aca="false">F1414*I1414</f>
        <v>17.6</v>
      </c>
      <c r="K1414" s="36" t="n">
        <f aca="false">H1414-J1414</f>
        <v>11</v>
      </c>
    </row>
    <row r="1415" customFormat="false" ht="15" hidden="false" customHeight="false" outlineLevel="0" collapsed="false">
      <c r="A1415" s="41" t="n">
        <v>46292</v>
      </c>
      <c r="B1415" s="42" t="n">
        <f aca="false">DATE(YEAR(A1415),MONTH(A1415),1)</f>
        <v>46266</v>
      </c>
      <c r="C1415" s="3" t="s">
        <v>63</v>
      </c>
      <c r="D1415" s="3" t="s">
        <v>64</v>
      </c>
      <c r="E1415" s="3" t="s">
        <v>28</v>
      </c>
      <c r="F1415" s="3" t="n">
        <v>22</v>
      </c>
      <c r="G1415" s="36" t="n">
        <v>0.9</v>
      </c>
      <c r="H1415" s="36" t="n">
        <f aca="false">F1415*G1415</f>
        <v>19.8</v>
      </c>
      <c r="I1415" s="36" t="n">
        <f aca="false">INDEX(Inventory!$D$2:$D$17,MATCH(C1415,Inventory!$A$2:$A$17,0))</f>
        <v>0.5</v>
      </c>
      <c r="J1415" s="36" t="n">
        <f aca="false">F1415*I1415</f>
        <v>11</v>
      </c>
      <c r="K1415" s="36" t="n">
        <f aca="false">H1415-J1415</f>
        <v>8.8</v>
      </c>
    </row>
    <row r="1416" customFormat="false" ht="15" hidden="false" customHeight="false" outlineLevel="0" collapsed="false">
      <c r="A1416" s="41" t="n">
        <v>46292</v>
      </c>
      <c r="B1416" s="42" t="n">
        <f aca="false">DATE(YEAR(A1416),MONTH(A1416),1)</f>
        <v>46266</v>
      </c>
      <c r="C1416" s="3" t="s">
        <v>49</v>
      </c>
      <c r="D1416" s="3" t="s">
        <v>50</v>
      </c>
      <c r="E1416" s="3" t="s">
        <v>28</v>
      </c>
      <c r="F1416" s="3" t="n">
        <v>23</v>
      </c>
      <c r="G1416" s="36" t="n">
        <v>1.2</v>
      </c>
      <c r="H1416" s="36" t="n">
        <f aca="false">F1416*G1416</f>
        <v>27.6</v>
      </c>
      <c r="I1416" s="36" t="n">
        <f aca="false">INDEX(Inventory!$D$2:$D$17,MATCH(C1416,Inventory!$A$2:$A$17,0))</f>
        <v>0.7</v>
      </c>
      <c r="J1416" s="36" t="n">
        <f aca="false">F1416*I1416</f>
        <v>16.1</v>
      </c>
      <c r="K1416" s="36" t="n">
        <f aca="false">H1416-J1416</f>
        <v>11.5</v>
      </c>
    </row>
    <row r="1417" customFormat="false" ht="15" hidden="false" customHeight="false" outlineLevel="0" collapsed="false">
      <c r="A1417" s="41" t="n">
        <v>46292</v>
      </c>
      <c r="B1417" s="42" t="n">
        <f aca="false">DATE(YEAR(A1417),MONTH(A1417),1)</f>
        <v>46266</v>
      </c>
      <c r="C1417" s="3" t="s">
        <v>51</v>
      </c>
      <c r="D1417" s="3" t="s">
        <v>52</v>
      </c>
      <c r="E1417" s="3" t="s">
        <v>28</v>
      </c>
      <c r="F1417" s="3" t="n">
        <v>37</v>
      </c>
      <c r="G1417" s="36" t="n">
        <v>0.85</v>
      </c>
      <c r="H1417" s="36" t="n">
        <f aca="false">F1417*G1417</f>
        <v>31.45</v>
      </c>
      <c r="I1417" s="36" t="n">
        <f aca="false">INDEX(Inventory!$D$2:$D$17,MATCH(C1417,Inventory!$A$2:$A$17,0))</f>
        <v>0.45</v>
      </c>
      <c r="J1417" s="36" t="n">
        <f aca="false">F1417*I1417</f>
        <v>16.65</v>
      </c>
      <c r="K1417" s="36" t="n">
        <f aca="false">H1417-J1417</f>
        <v>14.8</v>
      </c>
    </row>
    <row r="1418" customFormat="false" ht="15" hidden="false" customHeight="false" outlineLevel="0" collapsed="false">
      <c r="A1418" s="41" t="n">
        <v>46292</v>
      </c>
      <c r="B1418" s="42" t="n">
        <f aca="false">DATE(YEAR(A1418),MONTH(A1418),1)</f>
        <v>46266</v>
      </c>
      <c r="C1418" s="3" t="s">
        <v>37</v>
      </c>
      <c r="D1418" s="3" t="s">
        <v>38</v>
      </c>
      <c r="E1418" s="3" t="s">
        <v>26</v>
      </c>
      <c r="F1418" s="3" t="n">
        <v>32</v>
      </c>
      <c r="G1418" s="36" t="n">
        <v>1.2</v>
      </c>
      <c r="H1418" s="36" t="n">
        <f aca="false">F1418*G1418</f>
        <v>38.4</v>
      </c>
      <c r="I1418" s="36" t="n">
        <f aca="false">INDEX(Inventory!$D$2:$D$17,MATCH(C1418,Inventory!$A$2:$A$17,0))</f>
        <v>0.85</v>
      </c>
      <c r="J1418" s="36" t="n">
        <f aca="false">F1418*I1418</f>
        <v>27.2</v>
      </c>
      <c r="K1418" s="36" t="n">
        <f aca="false">H1418-J1418</f>
        <v>11.2</v>
      </c>
    </row>
    <row r="1419" customFormat="false" ht="15" hidden="false" customHeight="false" outlineLevel="0" collapsed="false">
      <c r="A1419" s="41" t="n">
        <v>46292</v>
      </c>
      <c r="B1419" s="42" t="n">
        <f aca="false">DATE(YEAR(A1419),MONTH(A1419),1)</f>
        <v>46266</v>
      </c>
      <c r="C1419" s="3" t="s">
        <v>47</v>
      </c>
      <c r="D1419" s="3" t="s">
        <v>48</v>
      </c>
      <c r="E1419" s="3" t="s">
        <v>26</v>
      </c>
      <c r="F1419" s="3" t="n">
        <v>13</v>
      </c>
      <c r="G1419" s="36" t="n">
        <v>2.2</v>
      </c>
      <c r="H1419" s="36" t="n">
        <f aca="false">F1419*G1419</f>
        <v>28.6</v>
      </c>
      <c r="I1419" s="36" t="n">
        <f aca="false">INDEX(Inventory!$D$2:$D$17,MATCH(C1419,Inventory!$A$2:$A$17,0))</f>
        <v>1.4</v>
      </c>
      <c r="J1419" s="36" t="n">
        <f aca="false">F1419*I1419</f>
        <v>18.2</v>
      </c>
      <c r="K1419" s="36" t="n">
        <f aca="false">H1419-J1419</f>
        <v>10.4</v>
      </c>
    </row>
    <row r="1420" customFormat="false" ht="15" hidden="false" customHeight="false" outlineLevel="0" collapsed="false">
      <c r="A1420" s="41" t="n">
        <v>46292</v>
      </c>
      <c r="B1420" s="42" t="n">
        <f aca="false">DATE(YEAR(A1420),MONTH(A1420),1)</f>
        <v>46266</v>
      </c>
      <c r="C1420" s="3" t="s">
        <v>43</v>
      </c>
      <c r="D1420" s="3" t="s">
        <v>44</v>
      </c>
      <c r="E1420" s="3" t="s">
        <v>26</v>
      </c>
      <c r="F1420" s="3" t="n">
        <v>10</v>
      </c>
      <c r="G1420" s="36" t="n">
        <v>3.8</v>
      </c>
      <c r="H1420" s="36" t="n">
        <f aca="false">F1420*G1420</f>
        <v>38</v>
      </c>
      <c r="I1420" s="36" t="n">
        <f aca="false">INDEX(Inventory!$D$2:$D$17,MATCH(C1420,Inventory!$A$2:$A$17,0))</f>
        <v>2.6</v>
      </c>
      <c r="J1420" s="36" t="n">
        <f aca="false">F1420*I1420</f>
        <v>26</v>
      </c>
      <c r="K1420" s="36" t="n">
        <f aca="false">H1420-J1420</f>
        <v>12</v>
      </c>
    </row>
    <row r="1421" customFormat="false" ht="15" hidden="false" customHeight="false" outlineLevel="0" collapsed="false">
      <c r="A1421" s="41" t="n">
        <v>46292</v>
      </c>
      <c r="B1421" s="42" t="n">
        <f aca="false">DATE(YEAR(A1421),MONTH(A1421),1)</f>
        <v>46266</v>
      </c>
      <c r="C1421" s="3" t="s">
        <v>67</v>
      </c>
      <c r="D1421" s="3" t="s">
        <v>68</v>
      </c>
      <c r="E1421" s="3" t="s">
        <v>26</v>
      </c>
      <c r="F1421" s="3" t="n">
        <v>8</v>
      </c>
      <c r="G1421" s="36" t="n">
        <v>1.9</v>
      </c>
      <c r="H1421" s="36" t="n">
        <f aca="false">F1421*G1421</f>
        <v>15.2</v>
      </c>
      <c r="I1421" s="36" t="n">
        <f aca="false">INDEX(Inventory!$D$2:$D$17,MATCH(C1421,Inventory!$A$2:$A$17,0))</f>
        <v>1.3</v>
      </c>
      <c r="J1421" s="36" t="n">
        <f aca="false">F1421*I1421</f>
        <v>10.4</v>
      </c>
      <c r="K1421" s="36" t="n">
        <f aca="false">H1421-J1421</f>
        <v>4.8</v>
      </c>
    </row>
    <row r="1422" customFormat="false" ht="15" hidden="false" customHeight="false" outlineLevel="0" collapsed="false">
      <c r="A1422" s="41" t="n">
        <v>46292</v>
      </c>
      <c r="B1422" s="42" t="n">
        <f aca="false">DATE(YEAR(A1422),MONTH(A1422),1)</f>
        <v>46266</v>
      </c>
      <c r="C1422" s="3" t="s">
        <v>61</v>
      </c>
      <c r="D1422" s="3" t="s">
        <v>62</v>
      </c>
      <c r="E1422" s="3" t="s">
        <v>29</v>
      </c>
      <c r="F1422" s="3" t="n">
        <v>10</v>
      </c>
      <c r="G1422" s="36" t="n">
        <v>1.9</v>
      </c>
      <c r="H1422" s="36" t="n">
        <f aca="false">F1422*G1422</f>
        <v>19</v>
      </c>
      <c r="I1422" s="36" t="n">
        <f aca="false">INDEX(Inventory!$D$2:$D$17,MATCH(C1422,Inventory!$A$2:$A$17,0))</f>
        <v>1.1</v>
      </c>
      <c r="J1422" s="36" t="n">
        <f aca="false">F1422*I1422</f>
        <v>11</v>
      </c>
      <c r="K1422" s="36" t="n">
        <f aca="false">H1422-J1422</f>
        <v>8</v>
      </c>
    </row>
    <row r="1423" customFormat="false" ht="15" hidden="false" customHeight="false" outlineLevel="0" collapsed="false">
      <c r="A1423" s="41" t="n">
        <v>46292</v>
      </c>
      <c r="B1423" s="42" t="n">
        <f aca="false">DATE(YEAR(A1423),MONTH(A1423),1)</f>
        <v>46266</v>
      </c>
      <c r="C1423" s="3" t="s">
        <v>45</v>
      </c>
      <c r="D1423" s="3" t="s">
        <v>46</v>
      </c>
      <c r="E1423" s="3" t="s">
        <v>29</v>
      </c>
      <c r="F1423" s="3" t="n">
        <v>7</v>
      </c>
      <c r="G1423" s="36" t="n">
        <v>5.2</v>
      </c>
      <c r="H1423" s="36" t="n">
        <f aca="false">F1423*G1423</f>
        <v>36.4</v>
      </c>
      <c r="I1423" s="36" t="n">
        <f aca="false">INDEX(Inventory!$D$2:$D$17,MATCH(C1423,Inventory!$A$2:$A$17,0))</f>
        <v>3.5</v>
      </c>
      <c r="J1423" s="36" t="n">
        <f aca="false">F1423*I1423</f>
        <v>24.5</v>
      </c>
      <c r="K1423" s="36" t="n">
        <f aca="false">H1423-J1423</f>
        <v>11.9</v>
      </c>
    </row>
    <row r="1424" customFormat="false" ht="15" hidden="false" customHeight="false" outlineLevel="0" collapsed="false">
      <c r="A1424" s="41" t="n">
        <v>46292</v>
      </c>
      <c r="B1424" s="42" t="n">
        <f aca="false">DATE(YEAR(A1424),MONTH(A1424),1)</f>
        <v>46266</v>
      </c>
      <c r="C1424" s="3" t="s">
        <v>65</v>
      </c>
      <c r="D1424" s="3" t="s">
        <v>66</v>
      </c>
      <c r="E1424" s="3" t="s">
        <v>29</v>
      </c>
      <c r="F1424" s="3" t="n">
        <v>14</v>
      </c>
      <c r="G1424" s="36" t="n">
        <v>1.5</v>
      </c>
      <c r="H1424" s="36" t="n">
        <f aca="false">F1424*G1424</f>
        <v>21</v>
      </c>
      <c r="I1424" s="36" t="n">
        <f aca="false">INDEX(Inventory!$D$2:$D$17,MATCH(C1424,Inventory!$A$2:$A$17,0))</f>
        <v>0.9</v>
      </c>
      <c r="J1424" s="36" t="n">
        <f aca="false">F1424*I1424</f>
        <v>12.6</v>
      </c>
      <c r="K1424" s="36" t="n">
        <f aca="false">H1424-J1424</f>
        <v>8.4</v>
      </c>
    </row>
    <row r="1425" customFormat="false" ht="15" hidden="false" customHeight="false" outlineLevel="0" collapsed="false">
      <c r="A1425" s="41" t="n">
        <v>46292</v>
      </c>
      <c r="B1425" s="42" t="n">
        <f aca="false">DATE(YEAR(A1425),MONTH(A1425),1)</f>
        <v>46266</v>
      </c>
      <c r="C1425" s="3" t="s">
        <v>55</v>
      </c>
      <c r="D1425" s="3" t="s">
        <v>56</v>
      </c>
      <c r="E1425" s="3" t="s">
        <v>29</v>
      </c>
      <c r="F1425" s="3" t="n">
        <v>10</v>
      </c>
      <c r="G1425" s="36" t="n">
        <v>2.5</v>
      </c>
      <c r="H1425" s="36" t="n">
        <f aca="false">F1425*G1425</f>
        <v>25</v>
      </c>
      <c r="I1425" s="36" t="n">
        <f aca="false">INDEX(Inventory!$D$2:$D$17,MATCH(C1425,Inventory!$A$2:$A$17,0))</f>
        <v>1.6</v>
      </c>
      <c r="J1425" s="36" t="n">
        <f aca="false">F1425*I1425</f>
        <v>16</v>
      </c>
      <c r="K1425" s="36" t="n">
        <f aca="false">H1425-J1425</f>
        <v>9</v>
      </c>
    </row>
    <row r="1426" customFormat="false" ht="15" hidden="false" customHeight="false" outlineLevel="0" collapsed="false">
      <c r="A1426" s="41" t="n">
        <v>46293</v>
      </c>
      <c r="B1426" s="42" t="n">
        <f aca="false">DATE(YEAR(A1426),MONTH(A1426),1)</f>
        <v>46266</v>
      </c>
      <c r="C1426" s="3" t="s">
        <v>39</v>
      </c>
      <c r="D1426" s="3" t="s">
        <v>40</v>
      </c>
      <c r="E1426" s="3" t="s">
        <v>27</v>
      </c>
      <c r="F1426" s="3" t="n">
        <v>22</v>
      </c>
      <c r="G1426" s="36" t="n">
        <v>1</v>
      </c>
      <c r="H1426" s="36" t="n">
        <f aca="false">F1426*G1426</f>
        <v>22</v>
      </c>
      <c r="I1426" s="36" t="n">
        <f aca="false">INDEX(Inventory!$D$2:$D$17,MATCH(C1426,Inventory!$A$2:$A$17,0))</f>
        <v>0.6</v>
      </c>
      <c r="J1426" s="36" t="n">
        <f aca="false">F1426*I1426</f>
        <v>13.2</v>
      </c>
      <c r="K1426" s="36" t="n">
        <f aca="false">H1426-J1426</f>
        <v>8.8</v>
      </c>
    </row>
    <row r="1427" customFormat="false" ht="15" hidden="false" customHeight="false" outlineLevel="0" collapsed="false">
      <c r="A1427" s="41" t="n">
        <v>46293</v>
      </c>
      <c r="B1427" s="42" t="n">
        <f aca="false">DATE(YEAR(A1427),MONTH(A1427),1)</f>
        <v>46266</v>
      </c>
      <c r="C1427" s="3" t="s">
        <v>53</v>
      </c>
      <c r="D1427" s="3" t="s">
        <v>54</v>
      </c>
      <c r="E1427" s="3" t="s">
        <v>27</v>
      </c>
      <c r="F1427" s="3" t="n">
        <v>23</v>
      </c>
      <c r="G1427" s="36" t="n">
        <v>0.95</v>
      </c>
      <c r="H1427" s="36" t="n">
        <f aca="false">F1427*G1427</f>
        <v>21.85</v>
      </c>
      <c r="I1427" s="36" t="n">
        <f aca="false">INDEX(Inventory!$D$2:$D$17,MATCH(C1427,Inventory!$A$2:$A$17,0))</f>
        <v>0.55</v>
      </c>
      <c r="J1427" s="36" t="n">
        <f aca="false">F1427*I1427</f>
        <v>12.65</v>
      </c>
      <c r="K1427" s="36" t="n">
        <f aca="false">H1427-J1427</f>
        <v>9.2</v>
      </c>
    </row>
    <row r="1428" customFormat="false" ht="15" hidden="false" customHeight="false" outlineLevel="0" collapsed="false">
      <c r="A1428" s="41" t="n">
        <v>46293</v>
      </c>
      <c r="B1428" s="42" t="n">
        <f aca="false">DATE(YEAR(A1428),MONTH(A1428),1)</f>
        <v>46266</v>
      </c>
      <c r="C1428" s="3" t="s">
        <v>59</v>
      </c>
      <c r="D1428" s="3" t="s">
        <v>60</v>
      </c>
      <c r="E1428" s="3" t="s">
        <v>27</v>
      </c>
      <c r="F1428" s="3" t="n">
        <v>18</v>
      </c>
      <c r="G1428" s="36" t="n">
        <v>0.6</v>
      </c>
      <c r="H1428" s="36" t="n">
        <f aca="false">F1428*G1428</f>
        <v>10.8</v>
      </c>
      <c r="I1428" s="36" t="n">
        <f aca="false">INDEX(Inventory!$D$2:$D$17,MATCH(C1428,Inventory!$A$2:$A$17,0))</f>
        <v>0.3</v>
      </c>
      <c r="J1428" s="36" t="n">
        <f aca="false">F1428*I1428</f>
        <v>5.4</v>
      </c>
      <c r="K1428" s="36" t="n">
        <f aca="false">H1428-J1428</f>
        <v>5.4</v>
      </c>
    </row>
    <row r="1429" customFormat="false" ht="15" hidden="false" customHeight="false" outlineLevel="0" collapsed="false">
      <c r="A1429" s="41" t="n">
        <v>46293</v>
      </c>
      <c r="B1429" s="42" t="n">
        <f aca="false">DATE(YEAR(A1429),MONTH(A1429),1)</f>
        <v>46266</v>
      </c>
      <c r="C1429" s="3" t="s">
        <v>57</v>
      </c>
      <c r="D1429" s="3" t="s">
        <v>58</v>
      </c>
      <c r="E1429" s="3" t="s">
        <v>27</v>
      </c>
      <c r="F1429" s="3" t="n">
        <v>7</v>
      </c>
      <c r="G1429" s="36" t="n">
        <v>1.5</v>
      </c>
      <c r="H1429" s="36" t="n">
        <f aca="false">F1429*G1429</f>
        <v>10.5</v>
      </c>
      <c r="I1429" s="36" t="n">
        <f aca="false">INDEX(Inventory!$D$2:$D$17,MATCH(C1429,Inventory!$A$2:$A$17,0))</f>
        <v>0.9</v>
      </c>
      <c r="J1429" s="36" t="n">
        <f aca="false">F1429*I1429</f>
        <v>6.3</v>
      </c>
      <c r="K1429" s="36" t="n">
        <f aca="false">H1429-J1429</f>
        <v>4.2</v>
      </c>
    </row>
    <row r="1430" customFormat="false" ht="15" hidden="false" customHeight="false" outlineLevel="0" collapsed="false">
      <c r="A1430" s="41" t="n">
        <v>46293</v>
      </c>
      <c r="B1430" s="42" t="n">
        <f aca="false">DATE(YEAR(A1430),MONTH(A1430),1)</f>
        <v>46266</v>
      </c>
      <c r="C1430" s="3" t="s">
        <v>41</v>
      </c>
      <c r="D1430" s="3" t="s">
        <v>42</v>
      </c>
      <c r="E1430" s="3" t="s">
        <v>28</v>
      </c>
      <c r="F1430" s="3" t="n">
        <v>22</v>
      </c>
      <c r="G1430" s="36" t="n">
        <v>1.3</v>
      </c>
      <c r="H1430" s="36" t="n">
        <f aca="false">F1430*G1430</f>
        <v>28.6</v>
      </c>
      <c r="I1430" s="36" t="n">
        <f aca="false">INDEX(Inventory!$D$2:$D$17,MATCH(C1430,Inventory!$A$2:$A$17,0))</f>
        <v>0.8</v>
      </c>
      <c r="J1430" s="36" t="n">
        <f aca="false">F1430*I1430</f>
        <v>17.6</v>
      </c>
      <c r="K1430" s="36" t="n">
        <f aca="false">H1430-J1430</f>
        <v>11</v>
      </c>
    </row>
    <row r="1431" customFormat="false" ht="15" hidden="false" customHeight="false" outlineLevel="0" collapsed="false">
      <c r="A1431" s="41" t="n">
        <v>46293</v>
      </c>
      <c r="B1431" s="42" t="n">
        <f aca="false">DATE(YEAR(A1431),MONTH(A1431),1)</f>
        <v>46266</v>
      </c>
      <c r="C1431" s="3" t="s">
        <v>63</v>
      </c>
      <c r="D1431" s="3" t="s">
        <v>64</v>
      </c>
      <c r="E1431" s="3" t="s">
        <v>28</v>
      </c>
      <c r="F1431" s="3" t="n">
        <v>16</v>
      </c>
      <c r="G1431" s="36" t="n">
        <v>0.9</v>
      </c>
      <c r="H1431" s="36" t="n">
        <f aca="false">F1431*G1431</f>
        <v>14.4</v>
      </c>
      <c r="I1431" s="36" t="n">
        <f aca="false">INDEX(Inventory!$D$2:$D$17,MATCH(C1431,Inventory!$A$2:$A$17,0))</f>
        <v>0.5</v>
      </c>
      <c r="J1431" s="36" t="n">
        <f aca="false">F1431*I1431</f>
        <v>8</v>
      </c>
      <c r="K1431" s="36" t="n">
        <f aca="false">H1431-J1431</f>
        <v>6.4</v>
      </c>
    </row>
    <row r="1432" customFormat="false" ht="15" hidden="false" customHeight="false" outlineLevel="0" collapsed="false">
      <c r="A1432" s="41" t="n">
        <v>46293</v>
      </c>
      <c r="B1432" s="42" t="n">
        <f aca="false">DATE(YEAR(A1432),MONTH(A1432),1)</f>
        <v>46266</v>
      </c>
      <c r="C1432" s="3" t="s">
        <v>49</v>
      </c>
      <c r="D1432" s="3" t="s">
        <v>50</v>
      </c>
      <c r="E1432" s="3" t="s">
        <v>28</v>
      </c>
      <c r="F1432" s="3" t="n">
        <v>18</v>
      </c>
      <c r="G1432" s="36" t="n">
        <v>1.2</v>
      </c>
      <c r="H1432" s="36" t="n">
        <f aca="false">F1432*G1432</f>
        <v>21.6</v>
      </c>
      <c r="I1432" s="36" t="n">
        <f aca="false">INDEX(Inventory!$D$2:$D$17,MATCH(C1432,Inventory!$A$2:$A$17,0))</f>
        <v>0.7</v>
      </c>
      <c r="J1432" s="36" t="n">
        <f aca="false">F1432*I1432</f>
        <v>12.6</v>
      </c>
      <c r="K1432" s="36" t="n">
        <f aca="false">H1432-J1432</f>
        <v>9</v>
      </c>
    </row>
    <row r="1433" customFormat="false" ht="15" hidden="false" customHeight="false" outlineLevel="0" collapsed="false">
      <c r="A1433" s="41" t="n">
        <v>46293</v>
      </c>
      <c r="B1433" s="42" t="n">
        <f aca="false">DATE(YEAR(A1433),MONTH(A1433),1)</f>
        <v>46266</v>
      </c>
      <c r="C1433" s="3" t="s">
        <v>51</v>
      </c>
      <c r="D1433" s="3" t="s">
        <v>52</v>
      </c>
      <c r="E1433" s="3" t="s">
        <v>28</v>
      </c>
      <c r="F1433" s="3" t="n">
        <v>19</v>
      </c>
      <c r="G1433" s="36" t="n">
        <v>0.85</v>
      </c>
      <c r="H1433" s="36" t="n">
        <f aca="false">F1433*G1433</f>
        <v>16.15</v>
      </c>
      <c r="I1433" s="36" t="n">
        <f aca="false">INDEX(Inventory!$D$2:$D$17,MATCH(C1433,Inventory!$A$2:$A$17,0))</f>
        <v>0.45</v>
      </c>
      <c r="J1433" s="36" t="n">
        <f aca="false">F1433*I1433</f>
        <v>8.55</v>
      </c>
      <c r="K1433" s="36" t="n">
        <f aca="false">H1433-J1433</f>
        <v>7.6</v>
      </c>
    </row>
    <row r="1434" customFormat="false" ht="15" hidden="false" customHeight="false" outlineLevel="0" collapsed="false">
      <c r="A1434" s="41" t="n">
        <v>46293</v>
      </c>
      <c r="B1434" s="42" t="n">
        <f aca="false">DATE(YEAR(A1434),MONTH(A1434),1)</f>
        <v>46266</v>
      </c>
      <c r="C1434" s="3" t="s">
        <v>37</v>
      </c>
      <c r="D1434" s="3" t="s">
        <v>38</v>
      </c>
      <c r="E1434" s="3" t="s">
        <v>26</v>
      </c>
      <c r="F1434" s="3" t="n">
        <v>25</v>
      </c>
      <c r="G1434" s="36" t="n">
        <v>1.2</v>
      </c>
      <c r="H1434" s="36" t="n">
        <f aca="false">F1434*G1434</f>
        <v>30</v>
      </c>
      <c r="I1434" s="36" t="n">
        <f aca="false">INDEX(Inventory!$D$2:$D$17,MATCH(C1434,Inventory!$A$2:$A$17,0))</f>
        <v>0.85</v>
      </c>
      <c r="J1434" s="36" t="n">
        <f aca="false">F1434*I1434</f>
        <v>21.25</v>
      </c>
      <c r="K1434" s="36" t="n">
        <f aca="false">H1434-J1434</f>
        <v>8.75</v>
      </c>
    </row>
    <row r="1435" customFormat="false" ht="15" hidden="false" customHeight="false" outlineLevel="0" collapsed="false">
      <c r="A1435" s="41" t="n">
        <v>46293</v>
      </c>
      <c r="B1435" s="42" t="n">
        <f aca="false">DATE(YEAR(A1435),MONTH(A1435),1)</f>
        <v>46266</v>
      </c>
      <c r="C1435" s="3" t="s">
        <v>47</v>
      </c>
      <c r="D1435" s="3" t="s">
        <v>48</v>
      </c>
      <c r="E1435" s="3" t="s">
        <v>26</v>
      </c>
      <c r="F1435" s="3" t="n">
        <v>7</v>
      </c>
      <c r="G1435" s="36" t="n">
        <v>2.2</v>
      </c>
      <c r="H1435" s="36" t="n">
        <f aca="false">F1435*G1435</f>
        <v>15.4</v>
      </c>
      <c r="I1435" s="36" t="n">
        <f aca="false">INDEX(Inventory!$D$2:$D$17,MATCH(C1435,Inventory!$A$2:$A$17,0))</f>
        <v>1.4</v>
      </c>
      <c r="J1435" s="36" t="n">
        <f aca="false">F1435*I1435</f>
        <v>9.8</v>
      </c>
      <c r="K1435" s="36" t="n">
        <f aca="false">H1435-J1435</f>
        <v>5.6</v>
      </c>
    </row>
    <row r="1436" customFormat="false" ht="15" hidden="false" customHeight="false" outlineLevel="0" collapsed="false">
      <c r="A1436" s="41" t="n">
        <v>46293</v>
      </c>
      <c r="B1436" s="42" t="n">
        <f aca="false">DATE(YEAR(A1436),MONTH(A1436),1)</f>
        <v>46266</v>
      </c>
      <c r="C1436" s="3" t="s">
        <v>43</v>
      </c>
      <c r="D1436" s="3" t="s">
        <v>44</v>
      </c>
      <c r="E1436" s="3" t="s">
        <v>26</v>
      </c>
      <c r="F1436" s="3" t="n">
        <v>8</v>
      </c>
      <c r="G1436" s="36" t="n">
        <v>3.8</v>
      </c>
      <c r="H1436" s="36" t="n">
        <f aca="false">F1436*G1436</f>
        <v>30.4</v>
      </c>
      <c r="I1436" s="36" t="n">
        <f aca="false">INDEX(Inventory!$D$2:$D$17,MATCH(C1436,Inventory!$A$2:$A$17,0))</f>
        <v>2.6</v>
      </c>
      <c r="J1436" s="36" t="n">
        <f aca="false">F1436*I1436</f>
        <v>20.8</v>
      </c>
      <c r="K1436" s="36" t="n">
        <f aca="false">H1436-J1436</f>
        <v>9.6</v>
      </c>
    </row>
    <row r="1437" customFormat="false" ht="15" hidden="false" customHeight="false" outlineLevel="0" collapsed="false">
      <c r="A1437" s="41" t="n">
        <v>46293</v>
      </c>
      <c r="B1437" s="42" t="n">
        <f aca="false">DATE(YEAR(A1437),MONTH(A1437),1)</f>
        <v>46266</v>
      </c>
      <c r="C1437" s="3" t="s">
        <v>67</v>
      </c>
      <c r="D1437" s="3" t="s">
        <v>68</v>
      </c>
      <c r="E1437" s="3" t="s">
        <v>26</v>
      </c>
      <c r="F1437" s="3" t="n">
        <v>4</v>
      </c>
      <c r="G1437" s="36" t="n">
        <v>1.9</v>
      </c>
      <c r="H1437" s="36" t="n">
        <f aca="false">F1437*G1437</f>
        <v>7.6</v>
      </c>
      <c r="I1437" s="36" t="n">
        <f aca="false">INDEX(Inventory!$D$2:$D$17,MATCH(C1437,Inventory!$A$2:$A$17,0))</f>
        <v>1.3</v>
      </c>
      <c r="J1437" s="36" t="n">
        <f aca="false">F1437*I1437</f>
        <v>5.2</v>
      </c>
      <c r="K1437" s="36" t="n">
        <f aca="false">H1437-J1437</f>
        <v>2.4</v>
      </c>
    </row>
    <row r="1438" customFormat="false" ht="15" hidden="false" customHeight="false" outlineLevel="0" collapsed="false">
      <c r="A1438" s="41" t="n">
        <v>46293</v>
      </c>
      <c r="B1438" s="42" t="n">
        <f aca="false">DATE(YEAR(A1438),MONTH(A1438),1)</f>
        <v>46266</v>
      </c>
      <c r="C1438" s="3" t="s">
        <v>61</v>
      </c>
      <c r="D1438" s="3" t="s">
        <v>62</v>
      </c>
      <c r="E1438" s="3" t="s">
        <v>29</v>
      </c>
      <c r="F1438" s="3" t="n">
        <v>9</v>
      </c>
      <c r="G1438" s="36" t="n">
        <v>1.9</v>
      </c>
      <c r="H1438" s="36" t="n">
        <f aca="false">F1438*G1438</f>
        <v>17.1</v>
      </c>
      <c r="I1438" s="36" t="n">
        <f aca="false">INDEX(Inventory!$D$2:$D$17,MATCH(C1438,Inventory!$A$2:$A$17,0))</f>
        <v>1.1</v>
      </c>
      <c r="J1438" s="36" t="n">
        <f aca="false">F1438*I1438</f>
        <v>9.9</v>
      </c>
      <c r="K1438" s="36" t="n">
        <f aca="false">H1438-J1438</f>
        <v>7.2</v>
      </c>
    </row>
    <row r="1439" customFormat="false" ht="15" hidden="false" customHeight="false" outlineLevel="0" collapsed="false">
      <c r="A1439" s="41" t="n">
        <v>46293</v>
      </c>
      <c r="B1439" s="42" t="n">
        <f aca="false">DATE(YEAR(A1439),MONTH(A1439),1)</f>
        <v>46266</v>
      </c>
      <c r="C1439" s="3" t="s">
        <v>45</v>
      </c>
      <c r="D1439" s="3" t="s">
        <v>46</v>
      </c>
      <c r="E1439" s="3" t="s">
        <v>29</v>
      </c>
      <c r="F1439" s="3" t="n">
        <v>6</v>
      </c>
      <c r="G1439" s="36" t="n">
        <v>5.2</v>
      </c>
      <c r="H1439" s="36" t="n">
        <f aca="false">F1439*G1439</f>
        <v>31.2</v>
      </c>
      <c r="I1439" s="36" t="n">
        <f aca="false">INDEX(Inventory!$D$2:$D$17,MATCH(C1439,Inventory!$A$2:$A$17,0))</f>
        <v>3.5</v>
      </c>
      <c r="J1439" s="36" t="n">
        <f aca="false">F1439*I1439</f>
        <v>21</v>
      </c>
      <c r="K1439" s="36" t="n">
        <f aca="false">H1439-J1439</f>
        <v>10.2</v>
      </c>
    </row>
    <row r="1440" customFormat="false" ht="15" hidden="false" customHeight="false" outlineLevel="0" collapsed="false">
      <c r="A1440" s="41" t="n">
        <v>46293</v>
      </c>
      <c r="B1440" s="42" t="n">
        <f aca="false">DATE(YEAR(A1440),MONTH(A1440),1)</f>
        <v>46266</v>
      </c>
      <c r="C1440" s="3" t="s">
        <v>65</v>
      </c>
      <c r="D1440" s="3" t="s">
        <v>66</v>
      </c>
      <c r="E1440" s="3" t="s">
        <v>29</v>
      </c>
      <c r="F1440" s="3" t="n">
        <v>5</v>
      </c>
      <c r="G1440" s="36" t="n">
        <v>1.5</v>
      </c>
      <c r="H1440" s="36" t="n">
        <f aca="false">F1440*G1440</f>
        <v>7.5</v>
      </c>
      <c r="I1440" s="36" t="n">
        <f aca="false">INDEX(Inventory!$D$2:$D$17,MATCH(C1440,Inventory!$A$2:$A$17,0))</f>
        <v>0.9</v>
      </c>
      <c r="J1440" s="36" t="n">
        <f aca="false">F1440*I1440</f>
        <v>4.5</v>
      </c>
      <c r="K1440" s="36" t="n">
        <f aca="false">H1440-J1440</f>
        <v>3</v>
      </c>
    </row>
    <row r="1441" customFormat="false" ht="15" hidden="false" customHeight="false" outlineLevel="0" collapsed="false">
      <c r="A1441" s="41" t="n">
        <v>46293</v>
      </c>
      <c r="B1441" s="42" t="n">
        <f aca="false">DATE(YEAR(A1441),MONTH(A1441),1)</f>
        <v>46266</v>
      </c>
      <c r="C1441" s="3" t="s">
        <v>55</v>
      </c>
      <c r="D1441" s="3" t="s">
        <v>56</v>
      </c>
      <c r="E1441" s="3" t="s">
        <v>29</v>
      </c>
      <c r="F1441" s="3" t="n">
        <v>7</v>
      </c>
      <c r="G1441" s="36" t="n">
        <v>2.5</v>
      </c>
      <c r="H1441" s="36" t="n">
        <f aca="false">F1441*G1441</f>
        <v>17.5</v>
      </c>
      <c r="I1441" s="36" t="n">
        <f aca="false">INDEX(Inventory!$D$2:$D$17,MATCH(C1441,Inventory!$A$2:$A$17,0))</f>
        <v>1.6</v>
      </c>
      <c r="J1441" s="36" t="n">
        <f aca="false">F1441*I1441</f>
        <v>11.2</v>
      </c>
      <c r="K1441" s="36" t="n">
        <f aca="false">H1441-J1441</f>
        <v>6.3</v>
      </c>
    </row>
    <row r="1442" customFormat="false" ht="15" hidden="false" customHeight="false" outlineLevel="0" collapsed="false">
      <c r="A1442" s="41" t="n">
        <v>46294</v>
      </c>
      <c r="B1442" s="42" t="n">
        <f aca="false">DATE(YEAR(A1442),MONTH(A1442),1)</f>
        <v>46266</v>
      </c>
      <c r="C1442" s="3" t="s">
        <v>39</v>
      </c>
      <c r="D1442" s="3" t="s">
        <v>40</v>
      </c>
      <c r="E1442" s="3" t="s">
        <v>27</v>
      </c>
      <c r="F1442" s="3" t="n">
        <v>33</v>
      </c>
      <c r="G1442" s="36" t="n">
        <v>1</v>
      </c>
      <c r="H1442" s="36" t="n">
        <f aca="false">F1442*G1442</f>
        <v>33</v>
      </c>
      <c r="I1442" s="36" t="n">
        <f aca="false">INDEX(Inventory!$D$2:$D$17,MATCH(C1442,Inventory!$A$2:$A$17,0))</f>
        <v>0.6</v>
      </c>
      <c r="J1442" s="36" t="n">
        <f aca="false">F1442*I1442</f>
        <v>19.8</v>
      </c>
      <c r="K1442" s="36" t="n">
        <f aca="false">H1442-J1442</f>
        <v>13.2</v>
      </c>
    </row>
    <row r="1443" customFormat="false" ht="15" hidden="false" customHeight="false" outlineLevel="0" collapsed="false">
      <c r="A1443" s="41" t="n">
        <v>46294</v>
      </c>
      <c r="B1443" s="42" t="n">
        <f aca="false">DATE(YEAR(A1443),MONTH(A1443),1)</f>
        <v>46266</v>
      </c>
      <c r="C1443" s="3" t="s">
        <v>53</v>
      </c>
      <c r="D1443" s="3" t="s">
        <v>54</v>
      </c>
      <c r="E1443" s="3" t="s">
        <v>27</v>
      </c>
      <c r="F1443" s="3" t="n">
        <v>26</v>
      </c>
      <c r="G1443" s="36" t="n">
        <v>0.95</v>
      </c>
      <c r="H1443" s="36" t="n">
        <f aca="false">F1443*G1443</f>
        <v>24.7</v>
      </c>
      <c r="I1443" s="36" t="n">
        <f aca="false">INDEX(Inventory!$D$2:$D$17,MATCH(C1443,Inventory!$A$2:$A$17,0))</f>
        <v>0.55</v>
      </c>
      <c r="J1443" s="36" t="n">
        <f aca="false">F1443*I1443</f>
        <v>14.3</v>
      </c>
      <c r="K1443" s="36" t="n">
        <f aca="false">H1443-J1443</f>
        <v>10.4</v>
      </c>
    </row>
    <row r="1444" customFormat="false" ht="15" hidden="false" customHeight="false" outlineLevel="0" collapsed="false">
      <c r="A1444" s="41" t="n">
        <v>46294</v>
      </c>
      <c r="B1444" s="42" t="n">
        <f aca="false">DATE(YEAR(A1444),MONTH(A1444),1)</f>
        <v>46266</v>
      </c>
      <c r="C1444" s="3" t="s">
        <v>59</v>
      </c>
      <c r="D1444" s="3" t="s">
        <v>60</v>
      </c>
      <c r="E1444" s="3" t="s">
        <v>27</v>
      </c>
      <c r="F1444" s="3" t="n">
        <v>21</v>
      </c>
      <c r="G1444" s="36" t="n">
        <v>0.6</v>
      </c>
      <c r="H1444" s="36" t="n">
        <f aca="false">F1444*G1444</f>
        <v>12.6</v>
      </c>
      <c r="I1444" s="36" t="n">
        <f aca="false">INDEX(Inventory!$D$2:$D$17,MATCH(C1444,Inventory!$A$2:$A$17,0))</f>
        <v>0.3</v>
      </c>
      <c r="J1444" s="36" t="n">
        <f aca="false">F1444*I1444</f>
        <v>6.3</v>
      </c>
      <c r="K1444" s="36" t="n">
        <f aca="false">H1444-J1444</f>
        <v>6.3</v>
      </c>
    </row>
    <row r="1445" customFormat="false" ht="15" hidden="false" customHeight="false" outlineLevel="0" collapsed="false">
      <c r="A1445" s="41" t="n">
        <v>46294</v>
      </c>
      <c r="B1445" s="42" t="n">
        <f aca="false">DATE(YEAR(A1445),MONTH(A1445),1)</f>
        <v>46266</v>
      </c>
      <c r="C1445" s="3" t="s">
        <v>57</v>
      </c>
      <c r="D1445" s="3" t="s">
        <v>58</v>
      </c>
      <c r="E1445" s="3" t="s">
        <v>27</v>
      </c>
      <c r="F1445" s="3" t="n">
        <v>14</v>
      </c>
      <c r="G1445" s="36" t="n">
        <v>1.5</v>
      </c>
      <c r="H1445" s="36" t="n">
        <f aca="false">F1445*G1445</f>
        <v>21</v>
      </c>
      <c r="I1445" s="36" t="n">
        <f aca="false">INDEX(Inventory!$D$2:$D$17,MATCH(C1445,Inventory!$A$2:$A$17,0))</f>
        <v>0.9</v>
      </c>
      <c r="J1445" s="36" t="n">
        <f aca="false">F1445*I1445</f>
        <v>12.6</v>
      </c>
      <c r="K1445" s="36" t="n">
        <f aca="false">H1445-J1445</f>
        <v>8.4</v>
      </c>
    </row>
    <row r="1446" customFormat="false" ht="15" hidden="false" customHeight="false" outlineLevel="0" collapsed="false">
      <c r="A1446" s="41" t="n">
        <v>46294</v>
      </c>
      <c r="B1446" s="42" t="n">
        <f aca="false">DATE(YEAR(A1446),MONTH(A1446),1)</f>
        <v>46266</v>
      </c>
      <c r="C1446" s="3" t="s">
        <v>41</v>
      </c>
      <c r="D1446" s="3" t="s">
        <v>42</v>
      </c>
      <c r="E1446" s="3" t="s">
        <v>28</v>
      </c>
      <c r="F1446" s="3" t="n">
        <v>15</v>
      </c>
      <c r="G1446" s="36" t="n">
        <v>1.3</v>
      </c>
      <c r="H1446" s="36" t="n">
        <f aca="false">F1446*G1446</f>
        <v>19.5</v>
      </c>
      <c r="I1446" s="36" t="n">
        <f aca="false">INDEX(Inventory!$D$2:$D$17,MATCH(C1446,Inventory!$A$2:$A$17,0))</f>
        <v>0.8</v>
      </c>
      <c r="J1446" s="36" t="n">
        <f aca="false">F1446*I1446</f>
        <v>12</v>
      </c>
      <c r="K1446" s="36" t="n">
        <f aca="false">H1446-J1446</f>
        <v>7.5</v>
      </c>
    </row>
    <row r="1447" customFormat="false" ht="15" hidden="false" customHeight="false" outlineLevel="0" collapsed="false">
      <c r="A1447" s="41" t="n">
        <v>46294</v>
      </c>
      <c r="B1447" s="42" t="n">
        <f aca="false">DATE(YEAR(A1447),MONTH(A1447),1)</f>
        <v>46266</v>
      </c>
      <c r="C1447" s="3" t="s">
        <v>63</v>
      </c>
      <c r="D1447" s="3" t="s">
        <v>64</v>
      </c>
      <c r="E1447" s="3" t="s">
        <v>28</v>
      </c>
      <c r="F1447" s="3" t="n">
        <v>10</v>
      </c>
      <c r="G1447" s="36" t="n">
        <v>0.9</v>
      </c>
      <c r="H1447" s="36" t="n">
        <f aca="false">F1447*G1447</f>
        <v>9</v>
      </c>
      <c r="I1447" s="36" t="n">
        <f aca="false">INDEX(Inventory!$D$2:$D$17,MATCH(C1447,Inventory!$A$2:$A$17,0))</f>
        <v>0.5</v>
      </c>
      <c r="J1447" s="36" t="n">
        <f aca="false">F1447*I1447</f>
        <v>5</v>
      </c>
      <c r="K1447" s="36" t="n">
        <f aca="false">H1447-J1447</f>
        <v>4</v>
      </c>
    </row>
    <row r="1448" customFormat="false" ht="15" hidden="false" customHeight="false" outlineLevel="0" collapsed="false">
      <c r="A1448" s="41" t="n">
        <v>46294</v>
      </c>
      <c r="B1448" s="42" t="n">
        <f aca="false">DATE(YEAR(A1448),MONTH(A1448),1)</f>
        <v>46266</v>
      </c>
      <c r="C1448" s="3" t="s">
        <v>49</v>
      </c>
      <c r="D1448" s="3" t="s">
        <v>50</v>
      </c>
      <c r="E1448" s="3" t="s">
        <v>28</v>
      </c>
      <c r="F1448" s="3" t="n">
        <v>24</v>
      </c>
      <c r="G1448" s="36" t="n">
        <v>1.2</v>
      </c>
      <c r="H1448" s="36" t="n">
        <f aca="false">F1448*G1448</f>
        <v>28.8</v>
      </c>
      <c r="I1448" s="36" t="n">
        <f aca="false">INDEX(Inventory!$D$2:$D$17,MATCH(C1448,Inventory!$A$2:$A$17,0))</f>
        <v>0.7</v>
      </c>
      <c r="J1448" s="36" t="n">
        <f aca="false">F1448*I1448</f>
        <v>16.8</v>
      </c>
      <c r="K1448" s="36" t="n">
        <f aca="false">H1448-J1448</f>
        <v>12</v>
      </c>
    </row>
    <row r="1449" customFormat="false" ht="15" hidden="false" customHeight="false" outlineLevel="0" collapsed="false">
      <c r="A1449" s="41" t="n">
        <v>46294</v>
      </c>
      <c r="B1449" s="42" t="n">
        <f aca="false">DATE(YEAR(A1449),MONTH(A1449),1)</f>
        <v>46266</v>
      </c>
      <c r="C1449" s="3" t="s">
        <v>51</v>
      </c>
      <c r="D1449" s="3" t="s">
        <v>52</v>
      </c>
      <c r="E1449" s="3" t="s">
        <v>28</v>
      </c>
      <c r="F1449" s="3" t="n">
        <v>27</v>
      </c>
      <c r="G1449" s="36" t="n">
        <v>0.85</v>
      </c>
      <c r="H1449" s="36" t="n">
        <f aca="false">F1449*G1449</f>
        <v>22.95</v>
      </c>
      <c r="I1449" s="36" t="n">
        <f aca="false">INDEX(Inventory!$D$2:$D$17,MATCH(C1449,Inventory!$A$2:$A$17,0))</f>
        <v>0.45</v>
      </c>
      <c r="J1449" s="36" t="n">
        <f aca="false">F1449*I1449</f>
        <v>12.15</v>
      </c>
      <c r="K1449" s="36" t="n">
        <f aca="false">H1449-J1449</f>
        <v>10.8</v>
      </c>
    </row>
    <row r="1450" customFormat="false" ht="15" hidden="false" customHeight="false" outlineLevel="0" collapsed="false">
      <c r="A1450" s="41" t="n">
        <v>46294</v>
      </c>
      <c r="B1450" s="42" t="n">
        <f aca="false">DATE(YEAR(A1450),MONTH(A1450),1)</f>
        <v>46266</v>
      </c>
      <c r="C1450" s="3" t="s">
        <v>37</v>
      </c>
      <c r="D1450" s="3" t="s">
        <v>38</v>
      </c>
      <c r="E1450" s="3" t="s">
        <v>26</v>
      </c>
      <c r="F1450" s="3" t="n">
        <v>21</v>
      </c>
      <c r="G1450" s="36" t="n">
        <v>1.2</v>
      </c>
      <c r="H1450" s="36" t="n">
        <f aca="false">F1450*G1450</f>
        <v>25.2</v>
      </c>
      <c r="I1450" s="36" t="n">
        <f aca="false">INDEX(Inventory!$D$2:$D$17,MATCH(C1450,Inventory!$A$2:$A$17,0))</f>
        <v>0.85</v>
      </c>
      <c r="J1450" s="36" t="n">
        <f aca="false">F1450*I1450</f>
        <v>17.85</v>
      </c>
      <c r="K1450" s="36" t="n">
        <f aca="false">H1450-J1450</f>
        <v>7.35</v>
      </c>
    </row>
    <row r="1451" customFormat="false" ht="15" hidden="false" customHeight="false" outlineLevel="0" collapsed="false">
      <c r="A1451" s="41" t="n">
        <v>46294</v>
      </c>
      <c r="B1451" s="42" t="n">
        <f aca="false">DATE(YEAR(A1451),MONTH(A1451),1)</f>
        <v>46266</v>
      </c>
      <c r="C1451" s="3" t="s">
        <v>47</v>
      </c>
      <c r="D1451" s="3" t="s">
        <v>48</v>
      </c>
      <c r="E1451" s="3" t="s">
        <v>26</v>
      </c>
      <c r="F1451" s="3" t="n">
        <v>11</v>
      </c>
      <c r="G1451" s="36" t="n">
        <v>2.2</v>
      </c>
      <c r="H1451" s="36" t="n">
        <f aca="false">F1451*G1451</f>
        <v>24.2</v>
      </c>
      <c r="I1451" s="36" t="n">
        <f aca="false">INDEX(Inventory!$D$2:$D$17,MATCH(C1451,Inventory!$A$2:$A$17,0))</f>
        <v>1.4</v>
      </c>
      <c r="J1451" s="36" t="n">
        <f aca="false">F1451*I1451</f>
        <v>15.4</v>
      </c>
      <c r="K1451" s="36" t="n">
        <f aca="false">H1451-J1451</f>
        <v>8.8</v>
      </c>
    </row>
    <row r="1452" customFormat="false" ht="15" hidden="false" customHeight="false" outlineLevel="0" collapsed="false">
      <c r="A1452" s="41" t="n">
        <v>46294</v>
      </c>
      <c r="B1452" s="42" t="n">
        <f aca="false">DATE(YEAR(A1452),MONTH(A1452),1)</f>
        <v>46266</v>
      </c>
      <c r="C1452" s="3" t="s">
        <v>43</v>
      </c>
      <c r="D1452" s="3" t="s">
        <v>44</v>
      </c>
      <c r="E1452" s="3" t="s">
        <v>26</v>
      </c>
      <c r="F1452" s="3" t="n">
        <v>9</v>
      </c>
      <c r="G1452" s="36" t="n">
        <v>3.8</v>
      </c>
      <c r="H1452" s="36" t="n">
        <f aca="false">F1452*G1452</f>
        <v>34.2</v>
      </c>
      <c r="I1452" s="36" t="n">
        <f aca="false">INDEX(Inventory!$D$2:$D$17,MATCH(C1452,Inventory!$A$2:$A$17,0))</f>
        <v>2.6</v>
      </c>
      <c r="J1452" s="36" t="n">
        <f aca="false">F1452*I1452</f>
        <v>23.4</v>
      </c>
      <c r="K1452" s="36" t="n">
        <f aca="false">H1452-J1452</f>
        <v>10.8</v>
      </c>
    </row>
    <row r="1453" customFormat="false" ht="15" hidden="false" customHeight="false" outlineLevel="0" collapsed="false">
      <c r="A1453" s="41" t="n">
        <v>46294</v>
      </c>
      <c r="B1453" s="42" t="n">
        <f aca="false">DATE(YEAR(A1453),MONTH(A1453),1)</f>
        <v>46266</v>
      </c>
      <c r="C1453" s="3" t="s">
        <v>67</v>
      </c>
      <c r="D1453" s="3" t="s">
        <v>68</v>
      </c>
      <c r="E1453" s="3" t="s">
        <v>26</v>
      </c>
      <c r="F1453" s="3" t="n">
        <v>7</v>
      </c>
      <c r="G1453" s="36" t="n">
        <v>1.9</v>
      </c>
      <c r="H1453" s="36" t="n">
        <f aca="false">F1453*G1453</f>
        <v>13.3</v>
      </c>
      <c r="I1453" s="36" t="n">
        <f aca="false">INDEX(Inventory!$D$2:$D$17,MATCH(C1453,Inventory!$A$2:$A$17,0))</f>
        <v>1.3</v>
      </c>
      <c r="J1453" s="36" t="n">
        <f aca="false">F1453*I1453</f>
        <v>9.1</v>
      </c>
      <c r="K1453" s="36" t="n">
        <f aca="false">H1453-J1453</f>
        <v>4.2</v>
      </c>
    </row>
    <row r="1454" customFormat="false" ht="15" hidden="false" customHeight="false" outlineLevel="0" collapsed="false">
      <c r="A1454" s="41" t="n">
        <v>46294</v>
      </c>
      <c r="B1454" s="42" t="n">
        <f aca="false">DATE(YEAR(A1454),MONTH(A1454),1)</f>
        <v>46266</v>
      </c>
      <c r="C1454" s="3" t="s">
        <v>61</v>
      </c>
      <c r="D1454" s="3" t="s">
        <v>62</v>
      </c>
      <c r="E1454" s="3" t="s">
        <v>29</v>
      </c>
      <c r="F1454" s="3" t="n">
        <v>15</v>
      </c>
      <c r="G1454" s="36" t="n">
        <v>1.9</v>
      </c>
      <c r="H1454" s="36" t="n">
        <f aca="false">F1454*G1454</f>
        <v>28.5</v>
      </c>
      <c r="I1454" s="36" t="n">
        <f aca="false">INDEX(Inventory!$D$2:$D$17,MATCH(C1454,Inventory!$A$2:$A$17,0))</f>
        <v>1.1</v>
      </c>
      <c r="J1454" s="36" t="n">
        <f aca="false">F1454*I1454</f>
        <v>16.5</v>
      </c>
      <c r="K1454" s="36" t="n">
        <f aca="false">H1454-J1454</f>
        <v>12</v>
      </c>
    </row>
    <row r="1455" customFormat="false" ht="15" hidden="false" customHeight="false" outlineLevel="0" collapsed="false">
      <c r="A1455" s="41" t="n">
        <v>46294</v>
      </c>
      <c r="B1455" s="42" t="n">
        <f aca="false">DATE(YEAR(A1455),MONTH(A1455),1)</f>
        <v>46266</v>
      </c>
      <c r="C1455" s="3" t="s">
        <v>45</v>
      </c>
      <c r="D1455" s="3" t="s">
        <v>46</v>
      </c>
      <c r="E1455" s="3" t="s">
        <v>29</v>
      </c>
      <c r="F1455" s="3" t="n">
        <v>6</v>
      </c>
      <c r="G1455" s="36" t="n">
        <v>5.2</v>
      </c>
      <c r="H1455" s="36" t="n">
        <f aca="false">F1455*G1455</f>
        <v>31.2</v>
      </c>
      <c r="I1455" s="36" t="n">
        <f aca="false">INDEX(Inventory!$D$2:$D$17,MATCH(C1455,Inventory!$A$2:$A$17,0))</f>
        <v>3.5</v>
      </c>
      <c r="J1455" s="36" t="n">
        <f aca="false">F1455*I1455</f>
        <v>21</v>
      </c>
      <c r="K1455" s="36" t="n">
        <f aca="false">H1455-J1455</f>
        <v>10.2</v>
      </c>
    </row>
    <row r="1456" customFormat="false" ht="15" hidden="false" customHeight="false" outlineLevel="0" collapsed="false">
      <c r="A1456" s="41" t="n">
        <v>46294</v>
      </c>
      <c r="B1456" s="42" t="n">
        <f aca="false">DATE(YEAR(A1456),MONTH(A1456),1)</f>
        <v>46266</v>
      </c>
      <c r="C1456" s="3" t="s">
        <v>65</v>
      </c>
      <c r="D1456" s="3" t="s">
        <v>66</v>
      </c>
      <c r="E1456" s="3" t="s">
        <v>29</v>
      </c>
      <c r="F1456" s="3" t="n">
        <v>3</v>
      </c>
      <c r="G1456" s="36" t="n">
        <v>1.5</v>
      </c>
      <c r="H1456" s="36" t="n">
        <f aca="false">F1456*G1456</f>
        <v>4.5</v>
      </c>
      <c r="I1456" s="36" t="n">
        <f aca="false">INDEX(Inventory!$D$2:$D$17,MATCH(C1456,Inventory!$A$2:$A$17,0))</f>
        <v>0.9</v>
      </c>
      <c r="J1456" s="36" t="n">
        <f aca="false">F1456*I1456</f>
        <v>2.7</v>
      </c>
      <c r="K1456" s="36" t="n">
        <f aca="false">H1456-J1456</f>
        <v>1.8</v>
      </c>
    </row>
    <row r="1457" customFormat="false" ht="15" hidden="false" customHeight="false" outlineLevel="0" collapsed="false">
      <c r="A1457" s="41" t="n">
        <v>46294</v>
      </c>
      <c r="B1457" s="42" t="n">
        <f aca="false">DATE(YEAR(A1457),MONTH(A1457),1)</f>
        <v>46266</v>
      </c>
      <c r="C1457" s="3" t="s">
        <v>55</v>
      </c>
      <c r="D1457" s="3" t="s">
        <v>56</v>
      </c>
      <c r="E1457" s="3" t="s">
        <v>29</v>
      </c>
      <c r="F1457" s="3" t="n">
        <v>7</v>
      </c>
      <c r="G1457" s="36" t="n">
        <v>2.5</v>
      </c>
      <c r="H1457" s="36" t="n">
        <f aca="false">F1457*G1457</f>
        <v>17.5</v>
      </c>
      <c r="I1457" s="36" t="n">
        <f aca="false">INDEX(Inventory!$D$2:$D$17,MATCH(C1457,Inventory!$A$2:$A$17,0))</f>
        <v>1.6</v>
      </c>
      <c r="J1457" s="36" t="n">
        <f aca="false">F1457*I1457</f>
        <v>11.2</v>
      </c>
      <c r="K1457" s="36" t="n">
        <f aca="false">H1457-J1457</f>
        <v>6.3</v>
      </c>
    </row>
    <row r="1458" customFormat="false" ht="15" hidden="false" customHeight="false" outlineLevel="0" collapsed="false">
      <c r="A1458" s="41" t="n">
        <v>46295</v>
      </c>
      <c r="B1458" s="42" t="n">
        <f aca="false">DATE(YEAR(A1458),MONTH(A1458),1)</f>
        <v>46266</v>
      </c>
      <c r="C1458" s="3" t="s">
        <v>39</v>
      </c>
      <c r="D1458" s="3" t="s">
        <v>40</v>
      </c>
      <c r="E1458" s="3" t="s">
        <v>27</v>
      </c>
      <c r="F1458" s="3" t="n">
        <v>23</v>
      </c>
      <c r="G1458" s="36" t="n">
        <v>1</v>
      </c>
      <c r="H1458" s="36" t="n">
        <f aca="false">F1458*G1458</f>
        <v>23</v>
      </c>
      <c r="I1458" s="36" t="n">
        <f aca="false">INDEX(Inventory!$D$2:$D$17,MATCH(C1458,Inventory!$A$2:$A$17,0))</f>
        <v>0.6</v>
      </c>
      <c r="J1458" s="36" t="n">
        <f aca="false">F1458*I1458</f>
        <v>13.8</v>
      </c>
      <c r="K1458" s="36" t="n">
        <f aca="false">H1458-J1458</f>
        <v>9.2</v>
      </c>
    </row>
    <row r="1459" customFormat="false" ht="15" hidden="false" customHeight="false" outlineLevel="0" collapsed="false">
      <c r="A1459" s="41" t="n">
        <v>46295</v>
      </c>
      <c r="B1459" s="42" t="n">
        <f aca="false">DATE(YEAR(A1459),MONTH(A1459),1)</f>
        <v>46266</v>
      </c>
      <c r="C1459" s="3" t="s">
        <v>53</v>
      </c>
      <c r="D1459" s="3" t="s">
        <v>54</v>
      </c>
      <c r="E1459" s="3" t="s">
        <v>27</v>
      </c>
      <c r="F1459" s="3" t="n">
        <v>19</v>
      </c>
      <c r="G1459" s="36" t="n">
        <v>0.95</v>
      </c>
      <c r="H1459" s="36" t="n">
        <f aca="false">F1459*G1459</f>
        <v>18.05</v>
      </c>
      <c r="I1459" s="36" t="n">
        <f aca="false">INDEX(Inventory!$D$2:$D$17,MATCH(C1459,Inventory!$A$2:$A$17,0))</f>
        <v>0.55</v>
      </c>
      <c r="J1459" s="36" t="n">
        <f aca="false">F1459*I1459</f>
        <v>10.45</v>
      </c>
      <c r="K1459" s="36" t="n">
        <f aca="false">H1459-J1459</f>
        <v>7.6</v>
      </c>
    </row>
    <row r="1460" customFormat="false" ht="15" hidden="false" customHeight="false" outlineLevel="0" collapsed="false">
      <c r="A1460" s="41" t="n">
        <v>46295</v>
      </c>
      <c r="B1460" s="42" t="n">
        <f aca="false">DATE(YEAR(A1460),MONTH(A1460),1)</f>
        <v>46266</v>
      </c>
      <c r="C1460" s="3" t="s">
        <v>59</v>
      </c>
      <c r="D1460" s="3" t="s">
        <v>60</v>
      </c>
      <c r="E1460" s="3" t="s">
        <v>27</v>
      </c>
      <c r="F1460" s="3" t="n">
        <v>33</v>
      </c>
      <c r="G1460" s="36" t="n">
        <v>0.6</v>
      </c>
      <c r="H1460" s="36" t="n">
        <f aca="false">F1460*G1460</f>
        <v>19.8</v>
      </c>
      <c r="I1460" s="36" t="n">
        <f aca="false">INDEX(Inventory!$D$2:$D$17,MATCH(C1460,Inventory!$A$2:$A$17,0))</f>
        <v>0.3</v>
      </c>
      <c r="J1460" s="36" t="n">
        <f aca="false">F1460*I1460</f>
        <v>9.9</v>
      </c>
      <c r="K1460" s="36" t="n">
        <f aca="false">H1460-J1460</f>
        <v>9.9</v>
      </c>
    </row>
    <row r="1461" customFormat="false" ht="15" hidden="false" customHeight="false" outlineLevel="0" collapsed="false">
      <c r="A1461" s="41" t="n">
        <v>46295</v>
      </c>
      <c r="B1461" s="42" t="n">
        <f aca="false">DATE(YEAR(A1461),MONTH(A1461),1)</f>
        <v>46266</v>
      </c>
      <c r="C1461" s="3" t="s">
        <v>57</v>
      </c>
      <c r="D1461" s="3" t="s">
        <v>58</v>
      </c>
      <c r="E1461" s="3" t="s">
        <v>27</v>
      </c>
      <c r="F1461" s="3" t="n">
        <v>11</v>
      </c>
      <c r="G1461" s="36" t="n">
        <v>1.5</v>
      </c>
      <c r="H1461" s="36" t="n">
        <f aca="false">F1461*G1461</f>
        <v>16.5</v>
      </c>
      <c r="I1461" s="36" t="n">
        <f aca="false">INDEX(Inventory!$D$2:$D$17,MATCH(C1461,Inventory!$A$2:$A$17,0))</f>
        <v>0.9</v>
      </c>
      <c r="J1461" s="36" t="n">
        <f aca="false">F1461*I1461</f>
        <v>9.9</v>
      </c>
      <c r="K1461" s="36" t="n">
        <f aca="false">H1461-J1461</f>
        <v>6.6</v>
      </c>
    </row>
    <row r="1462" customFormat="false" ht="15" hidden="false" customHeight="false" outlineLevel="0" collapsed="false">
      <c r="A1462" s="41" t="n">
        <v>46295</v>
      </c>
      <c r="B1462" s="42" t="n">
        <f aca="false">DATE(YEAR(A1462),MONTH(A1462),1)</f>
        <v>46266</v>
      </c>
      <c r="C1462" s="3" t="s">
        <v>41</v>
      </c>
      <c r="D1462" s="3" t="s">
        <v>42</v>
      </c>
      <c r="E1462" s="3" t="s">
        <v>28</v>
      </c>
      <c r="F1462" s="3" t="n">
        <v>16</v>
      </c>
      <c r="G1462" s="36" t="n">
        <v>1.3</v>
      </c>
      <c r="H1462" s="36" t="n">
        <f aca="false">F1462*G1462</f>
        <v>20.8</v>
      </c>
      <c r="I1462" s="36" t="n">
        <f aca="false">INDEX(Inventory!$D$2:$D$17,MATCH(C1462,Inventory!$A$2:$A$17,0))</f>
        <v>0.8</v>
      </c>
      <c r="J1462" s="36" t="n">
        <f aca="false">F1462*I1462</f>
        <v>12.8</v>
      </c>
      <c r="K1462" s="36" t="n">
        <f aca="false">H1462-J1462</f>
        <v>8</v>
      </c>
    </row>
    <row r="1463" customFormat="false" ht="15" hidden="false" customHeight="false" outlineLevel="0" collapsed="false">
      <c r="A1463" s="41" t="n">
        <v>46295</v>
      </c>
      <c r="B1463" s="42" t="n">
        <f aca="false">DATE(YEAR(A1463),MONTH(A1463),1)</f>
        <v>46266</v>
      </c>
      <c r="C1463" s="3" t="s">
        <v>63</v>
      </c>
      <c r="D1463" s="3" t="s">
        <v>64</v>
      </c>
      <c r="E1463" s="3" t="s">
        <v>28</v>
      </c>
      <c r="F1463" s="3" t="n">
        <v>20</v>
      </c>
      <c r="G1463" s="36" t="n">
        <v>0.9</v>
      </c>
      <c r="H1463" s="36" t="n">
        <f aca="false">F1463*G1463</f>
        <v>18</v>
      </c>
      <c r="I1463" s="36" t="n">
        <f aca="false">INDEX(Inventory!$D$2:$D$17,MATCH(C1463,Inventory!$A$2:$A$17,0))</f>
        <v>0.5</v>
      </c>
      <c r="J1463" s="36" t="n">
        <f aca="false">F1463*I1463</f>
        <v>10</v>
      </c>
      <c r="K1463" s="36" t="n">
        <f aca="false">H1463-J1463</f>
        <v>8</v>
      </c>
    </row>
    <row r="1464" customFormat="false" ht="15" hidden="false" customHeight="false" outlineLevel="0" collapsed="false">
      <c r="A1464" s="41" t="n">
        <v>46295</v>
      </c>
      <c r="B1464" s="42" t="n">
        <f aca="false">DATE(YEAR(A1464),MONTH(A1464),1)</f>
        <v>46266</v>
      </c>
      <c r="C1464" s="3" t="s">
        <v>49</v>
      </c>
      <c r="D1464" s="3" t="s">
        <v>50</v>
      </c>
      <c r="E1464" s="3" t="s">
        <v>28</v>
      </c>
      <c r="F1464" s="3" t="n">
        <v>20</v>
      </c>
      <c r="G1464" s="36" t="n">
        <v>1.2</v>
      </c>
      <c r="H1464" s="36" t="n">
        <f aca="false">F1464*G1464</f>
        <v>24</v>
      </c>
      <c r="I1464" s="36" t="n">
        <f aca="false">INDEX(Inventory!$D$2:$D$17,MATCH(C1464,Inventory!$A$2:$A$17,0))</f>
        <v>0.7</v>
      </c>
      <c r="J1464" s="36" t="n">
        <f aca="false">F1464*I1464</f>
        <v>14</v>
      </c>
      <c r="K1464" s="36" t="n">
        <f aca="false">H1464-J1464</f>
        <v>10</v>
      </c>
    </row>
    <row r="1465" customFormat="false" ht="15" hidden="false" customHeight="false" outlineLevel="0" collapsed="false">
      <c r="A1465" s="41" t="n">
        <v>46295</v>
      </c>
      <c r="B1465" s="42" t="n">
        <f aca="false">DATE(YEAR(A1465),MONTH(A1465),1)</f>
        <v>46266</v>
      </c>
      <c r="C1465" s="3" t="s">
        <v>51</v>
      </c>
      <c r="D1465" s="3" t="s">
        <v>52</v>
      </c>
      <c r="E1465" s="3" t="s">
        <v>28</v>
      </c>
      <c r="F1465" s="3" t="n">
        <v>20</v>
      </c>
      <c r="G1465" s="36" t="n">
        <v>0.85</v>
      </c>
      <c r="H1465" s="36" t="n">
        <f aca="false">F1465*G1465</f>
        <v>17</v>
      </c>
      <c r="I1465" s="36" t="n">
        <f aca="false">INDEX(Inventory!$D$2:$D$17,MATCH(C1465,Inventory!$A$2:$A$17,0))</f>
        <v>0.45</v>
      </c>
      <c r="J1465" s="36" t="n">
        <f aca="false">F1465*I1465</f>
        <v>9</v>
      </c>
      <c r="K1465" s="36" t="n">
        <f aca="false">H1465-J1465</f>
        <v>8</v>
      </c>
    </row>
    <row r="1466" customFormat="false" ht="15" hidden="false" customHeight="false" outlineLevel="0" collapsed="false">
      <c r="A1466" s="41" t="n">
        <v>46295</v>
      </c>
      <c r="B1466" s="42" t="n">
        <f aca="false">DATE(YEAR(A1466),MONTH(A1466),1)</f>
        <v>46266</v>
      </c>
      <c r="C1466" s="3" t="s">
        <v>37</v>
      </c>
      <c r="D1466" s="3" t="s">
        <v>38</v>
      </c>
      <c r="E1466" s="3" t="s">
        <v>26</v>
      </c>
      <c r="F1466" s="3" t="n">
        <v>30</v>
      </c>
      <c r="G1466" s="36" t="n">
        <v>1.2</v>
      </c>
      <c r="H1466" s="36" t="n">
        <f aca="false">F1466*G1466</f>
        <v>36</v>
      </c>
      <c r="I1466" s="36" t="n">
        <f aca="false">INDEX(Inventory!$D$2:$D$17,MATCH(C1466,Inventory!$A$2:$A$17,0))</f>
        <v>0.85</v>
      </c>
      <c r="J1466" s="36" t="n">
        <f aca="false">F1466*I1466</f>
        <v>25.5</v>
      </c>
      <c r="K1466" s="36" t="n">
        <f aca="false">H1466-J1466</f>
        <v>10.5</v>
      </c>
    </row>
    <row r="1467" customFormat="false" ht="15" hidden="false" customHeight="false" outlineLevel="0" collapsed="false">
      <c r="A1467" s="41" t="n">
        <v>46295</v>
      </c>
      <c r="B1467" s="42" t="n">
        <f aca="false">DATE(YEAR(A1467),MONTH(A1467),1)</f>
        <v>46266</v>
      </c>
      <c r="C1467" s="3" t="s">
        <v>47</v>
      </c>
      <c r="D1467" s="3" t="s">
        <v>48</v>
      </c>
      <c r="E1467" s="3" t="s">
        <v>26</v>
      </c>
      <c r="F1467" s="3" t="n">
        <v>12</v>
      </c>
      <c r="G1467" s="36" t="n">
        <v>2.2</v>
      </c>
      <c r="H1467" s="36" t="n">
        <f aca="false">F1467*G1467</f>
        <v>26.4</v>
      </c>
      <c r="I1467" s="36" t="n">
        <f aca="false">INDEX(Inventory!$D$2:$D$17,MATCH(C1467,Inventory!$A$2:$A$17,0))</f>
        <v>1.4</v>
      </c>
      <c r="J1467" s="36" t="n">
        <f aca="false">F1467*I1467</f>
        <v>16.8</v>
      </c>
      <c r="K1467" s="36" t="n">
        <f aca="false">H1467-J1467</f>
        <v>9.60000000000001</v>
      </c>
    </row>
    <row r="1468" customFormat="false" ht="15" hidden="false" customHeight="false" outlineLevel="0" collapsed="false">
      <c r="A1468" s="41" t="n">
        <v>46295</v>
      </c>
      <c r="B1468" s="42" t="n">
        <f aca="false">DATE(YEAR(A1468),MONTH(A1468),1)</f>
        <v>46266</v>
      </c>
      <c r="C1468" s="3" t="s">
        <v>43</v>
      </c>
      <c r="D1468" s="3" t="s">
        <v>44</v>
      </c>
      <c r="E1468" s="3" t="s">
        <v>26</v>
      </c>
      <c r="F1468" s="3" t="n">
        <v>10</v>
      </c>
      <c r="G1468" s="36" t="n">
        <v>3.8</v>
      </c>
      <c r="H1468" s="36" t="n">
        <f aca="false">F1468*G1468</f>
        <v>38</v>
      </c>
      <c r="I1468" s="36" t="n">
        <f aca="false">INDEX(Inventory!$D$2:$D$17,MATCH(C1468,Inventory!$A$2:$A$17,0))</f>
        <v>2.6</v>
      </c>
      <c r="J1468" s="36" t="n">
        <f aca="false">F1468*I1468</f>
        <v>26</v>
      </c>
      <c r="K1468" s="36" t="n">
        <f aca="false">H1468-J1468</f>
        <v>12</v>
      </c>
    </row>
    <row r="1469" customFormat="false" ht="15" hidden="false" customHeight="false" outlineLevel="0" collapsed="false">
      <c r="A1469" s="41" t="n">
        <v>46295</v>
      </c>
      <c r="B1469" s="42" t="n">
        <f aca="false">DATE(YEAR(A1469),MONTH(A1469),1)</f>
        <v>46266</v>
      </c>
      <c r="C1469" s="3" t="s">
        <v>67</v>
      </c>
      <c r="D1469" s="3" t="s">
        <v>68</v>
      </c>
      <c r="E1469" s="3" t="s">
        <v>26</v>
      </c>
      <c r="F1469" s="3" t="n">
        <v>5</v>
      </c>
      <c r="G1469" s="36" t="n">
        <v>1.9</v>
      </c>
      <c r="H1469" s="36" t="n">
        <f aca="false">F1469*G1469</f>
        <v>9.5</v>
      </c>
      <c r="I1469" s="36" t="n">
        <f aca="false">INDEX(Inventory!$D$2:$D$17,MATCH(C1469,Inventory!$A$2:$A$17,0))</f>
        <v>1.3</v>
      </c>
      <c r="J1469" s="36" t="n">
        <f aca="false">F1469*I1469</f>
        <v>6.5</v>
      </c>
      <c r="K1469" s="36" t="n">
        <f aca="false">H1469-J1469</f>
        <v>3</v>
      </c>
    </row>
    <row r="1470" customFormat="false" ht="15" hidden="false" customHeight="false" outlineLevel="0" collapsed="false">
      <c r="A1470" s="41" t="n">
        <v>46295</v>
      </c>
      <c r="B1470" s="42" t="n">
        <f aca="false">DATE(YEAR(A1470),MONTH(A1470),1)</f>
        <v>46266</v>
      </c>
      <c r="C1470" s="3" t="s">
        <v>61</v>
      </c>
      <c r="D1470" s="3" t="s">
        <v>62</v>
      </c>
      <c r="E1470" s="3" t="s">
        <v>29</v>
      </c>
      <c r="F1470" s="3" t="n">
        <v>11</v>
      </c>
      <c r="G1470" s="36" t="n">
        <v>1.9</v>
      </c>
      <c r="H1470" s="36" t="n">
        <f aca="false">F1470*G1470</f>
        <v>20.9</v>
      </c>
      <c r="I1470" s="36" t="n">
        <f aca="false">INDEX(Inventory!$D$2:$D$17,MATCH(C1470,Inventory!$A$2:$A$17,0))</f>
        <v>1.1</v>
      </c>
      <c r="J1470" s="36" t="n">
        <f aca="false">F1470*I1470</f>
        <v>12.1</v>
      </c>
      <c r="K1470" s="36" t="n">
        <f aca="false">H1470-J1470</f>
        <v>8.8</v>
      </c>
    </row>
    <row r="1471" customFormat="false" ht="15" hidden="false" customHeight="false" outlineLevel="0" collapsed="false">
      <c r="A1471" s="41" t="n">
        <v>46295</v>
      </c>
      <c r="B1471" s="42" t="n">
        <f aca="false">DATE(YEAR(A1471),MONTH(A1471),1)</f>
        <v>46266</v>
      </c>
      <c r="C1471" s="3" t="s">
        <v>45</v>
      </c>
      <c r="D1471" s="3" t="s">
        <v>46</v>
      </c>
      <c r="E1471" s="3" t="s">
        <v>29</v>
      </c>
      <c r="F1471" s="3" t="n">
        <v>5</v>
      </c>
      <c r="G1471" s="36" t="n">
        <v>5.2</v>
      </c>
      <c r="H1471" s="36" t="n">
        <f aca="false">F1471*G1471</f>
        <v>26</v>
      </c>
      <c r="I1471" s="36" t="n">
        <f aca="false">INDEX(Inventory!$D$2:$D$17,MATCH(C1471,Inventory!$A$2:$A$17,0))</f>
        <v>3.5</v>
      </c>
      <c r="J1471" s="36" t="n">
        <f aca="false">F1471*I1471</f>
        <v>17.5</v>
      </c>
      <c r="K1471" s="36" t="n">
        <f aca="false">H1471-J1471</f>
        <v>8.5</v>
      </c>
    </row>
    <row r="1472" customFormat="false" ht="15" hidden="false" customHeight="false" outlineLevel="0" collapsed="false">
      <c r="A1472" s="41" t="n">
        <v>46295</v>
      </c>
      <c r="B1472" s="42" t="n">
        <f aca="false">DATE(YEAR(A1472),MONTH(A1472),1)</f>
        <v>46266</v>
      </c>
      <c r="C1472" s="3" t="s">
        <v>65</v>
      </c>
      <c r="D1472" s="3" t="s">
        <v>66</v>
      </c>
      <c r="E1472" s="3" t="s">
        <v>29</v>
      </c>
      <c r="F1472" s="3" t="n">
        <v>11</v>
      </c>
      <c r="G1472" s="36" t="n">
        <v>1.5</v>
      </c>
      <c r="H1472" s="36" t="n">
        <f aca="false">F1472*G1472</f>
        <v>16.5</v>
      </c>
      <c r="I1472" s="36" t="n">
        <f aca="false">INDEX(Inventory!$D$2:$D$17,MATCH(C1472,Inventory!$A$2:$A$17,0))</f>
        <v>0.9</v>
      </c>
      <c r="J1472" s="36" t="n">
        <f aca="false">F1472*I1472</f>
        <v>9.9</v>
      </c>
      <c r="K1472" s="36" t="n">
        <f aca="false">H1472-J1472</f>
        <v>6.6</v>
      </c>
    </row>
    <row r="1473" customFormat="false" ht="15" hidden="false" customHeight="false" outlineLevel="0" collapsed="false">
      <c r="A1473" s="41" t="n">
        <v>46295</v>
      </c>
      <c r="B1473" s="42" t="n">
        <f aca="false">DATE(YEAR(A1473),MONTH(A1473),1)</f>
        <v>46266</v>
      </c>
      <c r="C1473" s="3" t="s">
        <v>55</v>
      </c>
      <c r="D1473" s="3" t="s">
        <v>56</v>
      </c>
      <c r="E1473" s="3" t="s">
        <v>29</v>
      </c>
      <c r="F1473" s="3" t="n">
        <v>7</v>
      </c>
      <c r="G1473" s="36" t="n">
        <v>2.5</v>
      </c>
      <c r="H1473" s="36" t="n">
        <f aca="false">F1473*G1473</f>
        <v>17.5</v>
      </c>
      <c r="I1473" s="36" t="n">
        <f aca="false">INDEX(Inventory!$D$2:$D$17,MATCH(C1473,Inventory!$A$2:$A$17,0))</f>
        <v>1.6</v>
      </c>
      <c r="J1473" s="36" t="n">
        <f aca="false">F1473*I1473</f>
        <v>11.2</v>
      </c>
      <c r="K1473" s="36" t="n">
        <f aca="false">H1473-J1473</f>
        <v>6.3</v>
      </c>
    </row>
  </sheetData>
  <autoFilter ref="A1:K147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3" t="s">
        <v>88</v>
      </c>
      <c r="B1" s="13" t="s">
        <v>14</v>
      </c>
      <c r="C1" s="13" t="s">
        <v>24</v>
      </c>
      <c r="D1" s="13" t="s">
        <v>90</v>
      </c>
      <c r="E1" s="13" t="s">
        <v>91</v>
      </c>
    </row>
    <row r="2" customFormat="false" ht="15" hidden="false" customHeight="false" outlineLevel="0" collapsed="false">
      <c r="A2" s="41" t="n">
        <v>46204</v>
      </c>
      <c r="B2" s="42" t="n">
        <f aca="false">DATE(YEAR(A2),MONTH(A2),1)</f>
        <v>46204</v>
      </c>
      <c r="C2" s="3" t="s">
        <v>73</v>
      </c>
      <c r="D2" s="3" t="s">
        <v>92</v>
      </c>
      <c r="E2" s="36" t="n">
        <v>900</v>
      </c>
    </row>
    <row r="3" customFormat="false" ht="15" hidden="false" customHeight="false" outlineLevel="0" collapsed="false">
      <c r="A3" s="41" t="n">
        <v>46208</v>
      </c>
      <c r="B3" s="42" t="n">
        <f aca="false">DATE(YEAR(A3),MONTH(A3),1)</f>
        <v>46204</v>
      </c>
      <c r="C3" s="3" t="s">
        <v>74</v>
      </c>
      <c r="D3" s="3" t="s">
        <v>93</v>
      </c>
      <c r="E3" s="36" t="n">
        <v>207.36</v>
      </c>
    </row>
    <row r="4" customFormat="false" ht="15" hidden="false" customHeight="false" outlineLevel="0" collapsed="false">
      <c r="A4" s="41" t="n">
        <v>46211</v>
      </c>
      <c r="B4" s="42" t="n">
        <f aca="false">DATE(YEAR(A4),MONTH(A4),1)</f>
        <v>46204</v>
      </c>
      <c r="C4" s="3" t="s">
        <v>74</v>
      </c>
      <c r="D4" s="3" t="s">
        <v>94</v>
      </c>
      <c r="E4" s="36" t="n">
        <v>53.86</v>
      </c>
    </row>
    <row r="5" customFormat="false" ht="15" hidden="false" customHeight="false" outlineLevel="0" collapsed="false">
      <c r="A5" s="41" t="n">
        <v>46213</v>
      </c>
      <c r="B5" s="42" t="n">
        <f aca="false">DATE(YEAR(A5),MONTH(A5),1)</f>
        <v>46204</v>
      </c>
      <c r="C5" s="3" t="s">
        <v>74</v>
      </c>
      <c r="D5" s="3" t="s">
        <v>95</v>
      </c>
      <c r="E5" s="36" t="n">
        <v>45</v>
      </c>
    </row>
    <row r="6" customFormat="false" ht="15" hidden="false" customHeight="false" outlineLevel="0" collapsed="false">
      <c r="A6" s="41" t="n">
        <v>46214</v>
      </c>
      <c r="B6" s="42" t="n">
        <f aca="false">DATE(YEAR(A6),MONTH(A6),1)</f>
        <v>46204</v>
      </c>
      <c r="C6" s="3" t="s">
        <v>75</v>
      </c>
      <c r="D6" s="3" t="s">
        <v>96</v>
      </c>
      <c r="E6" s="36" t="n">
        <v>19.4</v>
      </c>
    </row>
    <row r="7" customFormat="false" ht="15" hidden="false" customHeight="false" outlineLevel="0" collapsed="false">
      <c r="A7" s="41" t="n">
        <v>46215</v>
      </c>
      <c r="B7" s="42" t="n">
        <f aca="false">DATE(YEAR(A7),MONTH(A7),1)</f>
        <v>46204</v>
      </c>
      <c r="C7" s="3" t="s">
        <v>76</v>
      </c>
      <c r="D7" s="3" t="s">
        <v>97</v>
      </c>
      <c r="E7" s="36" t="n">
        <v>100.77</v>
      </c>
    </row>
    <row r="8" customFormat="false" ht="15" hidden="false" customHeight="false" outlineLevel="0" collapsed="false">
      <c r="A8" s="41" t="n">
        <v>46218</v>
      </c>
      <c r="B8" s="42" t="n">
        <f aca="false">DATE(YEAR(A8),MONTH(A8),1)</f>
        <v>46204</v>
      </c>
      <c r="C8" s="3" t="s">
        <v>72</v>
      </c>
      <c r="D8" s="3" t="s">
        <v>98</v>
      </c>
      <c r="E8" s="36" t="n">
        <v>700</v>
      </c>
    </row>
    <row r="9" customFormat="false" ht="15" hidden="false" customHeight="false" outlineLevel="0" collapsed="false">
      <c r="A9" s="41" t="n">
        <v>46223</v>
      </c>
      <c r="B9" s="42" t="n">
        <f aca="false">DATE(YEAR(A9),MONTH(A9),1)</f>
        <v>46204</v>
      </c>
      <c r="C9" s="3" t="s">
        <v>75</v>
      </c>
      <c r="D9" s="3" t="s">
        <v>99</v>
      </c>
      <c r="E9" s="36" t="n">
        <v>45</v>
      </c>
    </row>
    <row r="10" customFormat="false" ht="15" hidden="false" customHeight="false" outlineLevel="0" collapsed="false">
      <c r="A10" s="41" t="n">
        <v>46225</v>
      </c>
      <c r="B10" s="42" t="n">
        <f aca="false">DATE(YEAR(A10),MONTH(A10),1)</f>
        <v>46204</v>
      </c>
      <c r="C10" s="3" t="s">
        <v>77</v>
      </c>
      <c r="D10" s="3" t="s">
        <v>100</v>
      </c>
      <c r="E10" s="36" t="n">
        <v>34.35</v>
      </c>
    </row>
    <row r="11" customFormat="false" ht="15" hidden="false" customHeight="false" outlineLevel="0" collapsed="false">
      <c r="A11" s="41" t="n">
        <v>46225</v>
      </c>
      <c r="B11" s="42" t="n">
        <f aca="false">DATE(YEAR(A11),MONTH(A11),1)</f>
        <v>46204</v>
      </c>
      <c r="C11" s="3" t="s">
        <v>75</v>
      </c>
      <c r="D11" s="3" t="s">
        <v>101</v>
      </c>
      <c r="E11" s="36" t="n">
        <v>31.86</v>
      </c>
    </row>
    <row r="12" customFormat="false" ht="15" hidden="false" customHeight="false" outlineLevel="0" collapsed="false">
      <c r="A12" s="41" t="n">
        <v>46227</v>
      </c>
      <c r="B12" s="42" t="n">
        <f aca="false">DATE(YEAR(A12),MONTH(A12),1)</f>
        <v>46204</v>
      </c>
      <c r="C12" s="3" t="s">
        <v>75</v>
      </c>
      <c r="D12" s="3" t="s">
        <v>102</v>
      </c>
      <c r="E12" s="36" t="n">
        <v>19.34</v>
      </c>
    </row>
    <row r="13" customFormat="false" ht="15" hidden="false" customHeight="false" outlineLevel="0" collapsed="false">
      <c r="A13" s="41" t="n">
        <v>46231</v>
      </c>
      <c r="B13" s="42" t="n">
        <f aca="false">DATE(YEAR(A13),MONTH(A13),1)</f>
        <v>46204</v>
      </c>
      <c r="C13" s="3" t="s">
        <v>72</v>
      </c>
      <c r="D13" s="3" t="s">
        <v>103</v>
      </c>
      <c r="E13" s="36" t="n">
        <v>700</v>
      </c>
    </row>
    <row r="14" customFormat="false" ht="15" hidden="false" customHeight="false" outlineLevel="0" collapsed="false">
      <c r="A14" s="41" t="n">
        <v>46235</v>
      </c>
      <c r="B14" s="42" t="n">
        <f aca="false">DATE(YEAR(A14),MONTH(A14),1)</f>
        <v>46235</v>
      </c>
      <c r="C14" s="3" t="s">
        <v>73</v>
      </c>
      <c r="D14" s="3" t="s">
        <v>92</v>
      </c>
      <c r="E14" s="36" t="n">
        <v>900</v>
      </c>
    </row>
    <row r="15" customFormat="false" ht="15" hidden="false" customHeight="false" outlineLevel="0" collapsed="false">
      <c r="A15" s="41" t="n">
        <v>46239</v>
      </c>
      <c r="B15" s="42" t="n">
        <f aca="false">DATE(YEAR(A15),MONTH(A15),1)</f>
        <v>46235</v>
      </c>
      <c r="C15" s="3" t="s">
        <v>74</v>
      </c>
      <c r="D15" s="3" t="s">
        <v>93</v>
      </c>
      <c r="E15" s="36" t="n">
        <v>189.17</v>
      </c>
    </row>
    <row r="16" customFormat="false" ht="15" hidden="false" customHeight="false" outlineLevel="0" collapsed="false">
      <c r="A16" s="41" t="n">
        <v>46239</v>
      </c>
      <c r="B16" s="42" t="n">
        <f aca="false">DATE(YEAR(A16),MONTH(A16),1)</f>
        <v>46235</v>
      </c>
      <c r="C16" s="3" t="s">
        <v>75</v>
      </c>
      <c r="D16" s="3" t="s">
        <v>102</v>
      </c>
      <c r="E16" s="36" t="n">
        <v>16.91</v>
      </c>
    </row>
    <row r="17" customFormat="false" ht="15" hidden="false" customHeight="false" outlineLevel="0" collapsed="false">
      <c r="A17" s="41" t="n">
        <v>46239</v>
      </c>
      <c r="B17" s="42" t="n">
        <f aca="false">DATE(YEAR(A17),MONTH(A17),1)</f>
        <v>46235</v>
      </c>
      <c r="C17" s="3" t="s">
        <v>77</v>
      </c>
      <c r="D17" s="3" t="s">
        <v>100</v>
      </c>
      <c r="E17" s="36" t="n">
        <v>24.72</v>
      </c>
    </row>
    <row r="18" customFormat="false" ht="15" hidden="false" customHeight="false" outlineLevel="0" collapsed="false">
      <c r="A18" s="41" t="n">
        <v>46242</v>
      </c>
      <c r="B18" s="42" t="n">
        <f aca="false">DATE(YEAR(A18),MONTH(A18),1)</f>
        <v>46235</v>
      </c>
      <c r="C18" s="3" t="s">
        <v>74</v>
      </c>
      <c r="D18" s="3" t="s">
        <v>94</v>
      </c>
      <c r="E18" s="36" t="n">
        <v>46.66</v>
      </c>
    </row>
    <row r="19" customFormat="false" ht="15" hidden="false" customHeight="false" outlineLevel="0" collapsed="false">
      <c r="A19" s="41" t="n">
        <v>46244</v>
      </c>
      <c r="B19" s="42" t="n">
        <f aca="false">DATE(YEAR(A19),MONTH(A19),1)</f>
        <v>46235</v>
      </c>
      <c r="C19" s="3" t="s">
        <v>74</v>
      </c>
      <c r="D19" s="3" t="s">
        <v>95</v>
      </c>
      <c r="E19" s="36" t="n">
        <v>45</v>
      </c>
    </row>
    <row r="20" customFormat="false" ht="15" hidden="false" customHeight="false" outlineLevel="0" collapsed="false">
      <c r="A20" s="41" t="n">
        <v>46246</v>
      </c>
      <c r="B20" s="42" t="n">
        <f aca="false">DATE(YEAR(A20),MONTH(A20),1)</f>
        <v>46235</v>
      </c>
      <c r="C20" s="3" t="s">
        <v>76</v>
      </c>
      <c r="D20" s="3" t="s">
        <v>97</v>
      </c>
      <c r="E20" s="36" t="n">
        <v>97.89</v>
      </c>
    </row>
    <row r="21" customFormat="false" ht="15" hidden="false" customHeight="false" outlineLevel="0" collapsed="false">
      <c r="A21" s="41" t="n">
        <v>46248</v>
      </c>
      <c r="B21" s="42" t="n">
        <f aca="false">DATE(YEAR(A21),MONTH(A21),1)</f>
        <v>46235</v>
      </c>
      <c r="C21" s="3" t="s">
        <v>75</v>
      </c>
      <c r="D21" s="3" t="s">
        <v>101</v>
      </c>
      <c r="E21" s="36" t="n">
        <v>50.17</v>
      </c>
    </row>
    <row r="22" customFormat="false" ht="15" hidden="false" customHeight="false" outlineLevel="0" collapsed="false">
      <c r="A22" s="41" t="n">
        <v>46249</v>
      </c>
      <c r="B22" s="42" t="n">
        <f aca="false">DATE(YEAR(A22),MONTH(A22),1)</f>
        <v>46235</v>
      </c>
      <c r="C22" s="3" t="s">
        <v>72</v>
      </c>
      <c r="D22" s="3" t="s">
        <v>98</v>
      </c>
      <c r="E22" s="36" t="n">
        <v>700</v>
      </c>
    </row>
    <row r="23" customFormat="false" ht="15" hidden="false" customHeight="false" outlineLevel="0" collapsed="false">
      <c r="A23" s="41" t="n">
        <v>46253</v>
      </c>
      <c r="B23" s="42" t="n">
        <f aca="false">DATE(YEAR(A23),MONTH(A23),1)</f>
        <v>46235</v>
      </c>
      <c r="C23" s="3" t="s">
        <v>77</v>
      </c>
      <c r="D23" s="3" t="s">
        <v>104</v>
      </c>
      <c r="E23" s="36" t="n">
        <v>160</v>
      </c>
    </row>
    <row r="24" customFormat="false" ht="15" hidden="false" customHeight="false" outlineLevel="0" collapsed="false">
      <c r="A24" s="41" t="n">
        <v>46255</v>
      </c>
      <c r="B24" s="42" t="n">
        <f aca="false">DATE(YEAR(A24),MONTH(A24),1)</f>
        <v>46235</v>
      </c>
      <c r="C24" s="3" t="s">
        <v>75</v>
      </c>
      <c r="D24" s="3" t="s">
        <v>102</v>
      </c>
      <c r="E24" s="36" t="n">
        <v>34.98</v>
      </c>
    </row>
    <row r="25" customFormat="false" ht="15" hidden="false" customHeight="false" outlineLevel="0" collapsed="false">
      <c r="A25" s="41" t="n">
        <v>46260</v>
      </c>
      <c r="B25" s="42" t="n">
        <f aca="false">DATE(YEAR(A25),MONTH(A25),1)</f>
        <v>46235</v>
      </c>
      <c r="C25" s="3" t="s">
        <v>75</v>
      </c>
      <c r="D25" s="3" t="s">
        <v>96</v>
      </c>
      <c r="E25" s="36" t="n">
        <v>19.13</v>
      </c>
    </row>
    <row r="26" customFormat="false" ht="15" hidden="false" customHeight="false" outlineLevel="0" collapsed="false">
      <c r="A26" s="41" t="n">
        <v>46260</v>
      </c>
      <c r="B26" s="42" t="n">
        <f aca="false">DATE(YEAR(A26),MONTH(A26),1)</f>
        <v>46235</v>
      </c>
      <c r="C26" s="3" t="s">
        <v>75</v>
      </c>
      <c r="D26" s="3" t="s">
        <v>99</v>
      </c>
      <c r="E26" s="36" t="n">
        <v>67.4</v>
      </c>
    </row>
    <row r="27" customFormat="false" ht="15" hidden="false" customHeight="false" outlineLevel="0" collapsed="false">
      <c r="A27" s="41" t="n">
        <v>46262</v>
      </c>
      <c r="B27" s="42" t="n">
        <f aca="false">DATE(YEAR(A27),MONTH(A27),1)</f>
        <v>46235</v>
      </c>
      <c r="C27" s="3" t="s">
        <v>72</v>
      </c>
      <c r="D27" s="3" t="s">
        <v>103</v>
      </c>
      <c r="E27" s="36" t="n">
        <v>700</v>
      </c>
    </row>
    <row r="28" customFormat="false" ht="15" hidden="false" customHeight="false" outlineLevel="0" collapsed="false">
      <c r="A28" s="41" t="n">
        <v>46262</v>
      </c>
      <c r="B28" s="42" t="n">
        <f aca="false">DATE(YEAR(A28),MONTH(A28),1)</f>
        <v>46235</v>
      </c>
      <c r="C28" s="3" t="s">
        <v>75</v>
      </c>
      <c r="D28" s="3" t="s">
        <v>101</v>
      </c>
      <c r="E28" s="36" t="n">
        <v>48.82</v>
      </c>
    </row>
    <row r="29" customFormat="false" ht="15" hidden="false" customHeight="false" outlineLevel="0" collapsed="false">
      <c r="A29" s="41" t="n">
        <v>46266</v>
      </c>
      <c r="B29" s="42" t="n">
        <f aca="false">DATE(YEAR(A29),MONTH(A29),1)</f>
        <v>46266</v>
      </c>
      <c r="C29" s="3" t="s">
        <v>73</v>
      </c>
      <c r="D29" s="3" t="s">
        <v>92</v>
      </c>
      <c r="E29" s="36" t="n">
        <v>900</v>
      </c>
    </row>
    <row r="30" customFormat="false" ht="15" hidden="false" customHeight="false" outlineLevel="0" collapsed="false">
      <c r="A30" s="41" t="n">
        <v>46268</v>
      </c>
      <c r="B30" s="42" t="n">
        <f aca="false">DATE(YEAR(A30),MONTH(A30),1)</f>
        <v>46266</v>
      </c>
      <c r="C30" s="3" t="s">
        <v>75</v>
      </c>
      <c r="D30" s="3" t="s">
        <v>99</v>
      </c>
      <c r="E30" s="36" t="n">
        <v>44.12</v>
      </c>
    </row>
    <row r="31" customFormat="false" ht="15" hidden="false" customHeight="false" outlineLevel="0" collapsed="false">
      <c r="A31" s="41" t="n">
        <v>46270</v>
      </c>
      <c r="B31" s="42" t="n">
        <f aca="false">DATE(YEAR(A31),MONTH(A31),1)</f>
        <v>46266</v>
      </c>
      <c r="C31" s="3" t="s">
        <v>74</v>
      </c>
      <c r="D31" s="3" t="s">
        <v>93</v>
      </c>
      <c r="E31" s="36" t="n">
        <v>215.48</v>
      </c>
    </row>
    <row r="32" customFormat="false" ht="15" hidden="false" customHeight="false" outlineLevel="0" collapsed="false">
      <c r="A32" s="41" t="n">
        <v>46273</v>
      </c>
      <c r="B32" s="42" t="n">
        <f aca="false">DATE(YEAR(A32),MONTH(A32),1)</f>
        <v>46266</v>
      </c>
      <c r="C32" s="3" t="s">
        <v>74</v>
      </c>
      <c r="D32" s="3" t="s">
        <v>94</v>
      </c>
      <c r="E32" s="36" t="n">
        <v>45.43</v>
      </c>
    </row>
    <row r="33" customFormat="false" ht="15" hidden="false" customHeight="false" outlineLevel="0" collapsed="false">
      <c r="A33" s="41" t="n">
        <v>46275</v>
      </c>
      <c r="B33" s="42" t="n">
        <f aca="false">DATE(YEAR(A33),MONTH(A33),1)</f>
        <v>46266</v>
      </c>
      <c r="C33" s="3" t="s">
        <v>74</v>
      </c>
      <c r="D33" s="3" t="s">
        <v>95</v>
      </c>
      <c r="E33" s="36" t="n">
        <v>45</v>
      </c>
    </row>
    <row r="34" customFormat="false" ht="15" hidden="false" customHeight="false" outlineLevel="0" collapsed="false">
      <c r="A34" s="41" t="n">
        <v>46275</v>
      </c>
      <c r="B34" s="42" t="n">
        <f aca="false">DATE(YEAR(A34),MONTH(A34),1)</f>
        <v>46266</v>
      </c>
      <c r="C34" s="3" t="s">
        <v>77</v>
      </c>
      <c r="D34" s="3" t="s">
        <v>100</v>
      </c>
      <c r="E34" s="36" t="n">
        <v>39.21</v>
      </c>
    </row>
    <row r="35" customFormat="false" ht="15" hidden="false" customHeight="false" outlineLevel="0" collapsed="false">
      <c r="A35" s="41" t="n">
        <v>46277</v>
      </c>
      <c r="B35" s="42" t="n">
        <f aca="false">DATE(YEAR(A35),MONTH(A35),1)</f>
        <v>46266</v>
      </c>
      <c r="C35" s="3" t="s">
        <v>76</v>
      </c>
      <c r="D35" s="3" t="s">
        <v>97</v>
      </c>
      <c r="E35" s="36" t="n">
        <v>117.98</v>
      </c>
    </row>
    <row r="36" customFormat="false" ht="15" hidden="false" customHeight="false" outlineLevel="0" collapsed="false">
      <c r="A36" s="41" t="n">
        <v>46277</v>
      </c>
      <c r="B36" s="42" t="n">
        <f aca="false">DATE(YEAR(A36),MONTH(A36),1)</f>
        <v>46266</v>
      </c>
      <c r="C36" s="3" t="s">
        <v>75</v>
      </c>
      <c r="D36" s="3" t="s">
        <v>101</v>
      </c>
      <c r="E36" s="36" t="n">
        <v>39.42</v>
      </c>
    </row>
    <row r="37" customFormat="false" ht="15" hidden="false" customHeight="false" outlineLevel="0" collapsed="false">
      <c r="A37" s="41" t="n">
        <v>46278</v>
      </c>
      <c r="B37" s="42" t="n">
        <f aca="false">DATE(YEAR(A37),MONTH(A37),1)</f>
        <v>46266</v>
      </c>
      <c r="C37" s="3" t="s">
        <v>75</v>
      </c>
      <c r="D37" s="3" t="s">
        <v>101</v>
      </c>
      <c r="E37" s="36" t="n">
        <v>50.73</v>
      </c>
    </row>
    <row r="38" customFormat="false" ht="15" hidden="false" customHeight="false" outlineLevel="0" collapsed="false">
      <c r="A38" s="41" t="n">
        <v>46280</v>
      </c>
      <c r="B38" s="42" t="n">
        <f aca="false">DATE(YEAR(A38),MONTH(A38),1)</f>
        <v>46266</v>
      </c>
      <c r="C38" s="3" t="s">
        <v>72</v>
      </c>
      <c r="D38" s="3" t="s">
        <v>98</v>
      </c>
      <c r="E38" s="36" t="n">
        <v>700</v>
      </c>
    </row>
    <row r="39" customFormat="false" ht="15" hidden="false" customHeight="false" outlineLevel="0" collapsed="false">
      <c r="A39" s="41" t="n">
        <v>46285</v>
      </c>
      <c r="B39" s="42" t="n">
        <f aca="false">DATE(YEAR(A39),MONTH(A39),1)</f>
        <v>46266</v>
      </c>
      <c r="C39" s="3" t="s">
        <v>75</v>
      </c>
      <c r="D39" s="3" t="s">
        <v>99</v>
      </c>
      <c r="E39" s="36" t="n">
        <v>52.35</v>
      </c>
    </row>
    <row r="40" customFormat="false" ht="15" hidden="false" customHeight="false" outlineLevel="0" collapsed="false">
      <c r="A40" s="41" t="n">
        <v>46293</v>
      </c>
      <c r="B40" s="42" t="n">
        <f aca="false">DATE(YEAR(A40),MONTH(A40),1)</f>
        <v>46266</v>
      </c>
      <c r="C40" s="3" t="s">
        <v>72</v>
      </c>
      <c r="D40" s="3" t="s">
        <v>103</v>
      </c>
      <c r="E40" s="36" t="n">
        <v>700</v>
      </c>
    </row>
  </sheetData>
  <autoFilter ref="A1:E4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2026-10-11T20:58:15Z</dcterms:created>
  <dc:creator>openpyxl</dc:creator>
  <dc:description/>
  <dc:language>en-US</dc:language>
  <cp:lastModifiedBy/>
  <dcterms:modified xsi:type="dcterms:W3CDTF">2026-10-11T20:58:18Z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